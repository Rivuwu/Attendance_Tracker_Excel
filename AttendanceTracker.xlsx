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ef3e3d8664812e/Desktop/Portfolio/Excel Capstone Project/"/>
    </mc:Choice>
  </mc:AlternateContent>
  <xr:revisionPtr revIDLastSave="4" documentId="8_{CAEDAC59-2799-4A9A-B15A-3F584A181ED5}" xr6:coauthVersionLast="47" xr6:coauthVersionMax="47" xr10:uidLastSave="{F1F42FCA-518E-41ED-8D07-0F9C99246CAC}"/>
  <bookViews>
    <workbookView xWindow="-108" yWindow="-108" windowWidth="23256" windowHeight="12456" xr2:uid="{52226339-060C-40F5-83A2-398531F62620}"/>
  </bookViews>
  <sheets>
    <sheet name="Attendance Tracker" sheetId="1" r:id="rId1"/>
    <sheet name="Individual Attendance Summary" sheetId="6" r:id="rId2"/>
    <sheet name="Attendance Summary" sheetId="5" r:id="rId3"/>
    <sheet name="List 1" sheetId="2" r:id="rId4"/>
    <sheet name="List 2" sheetId="3" r:id="rId5"/>
    <sheet name="List 3" sheetId="4" r:id="rId6"/>
  </sheet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" l="1"/>
  <c r="B11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" i="4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2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2" i="3"/>
  <c r="E2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F84" i="4" s="1"/>
  <c r="E35" i="4"/>
  <c r="E36" i="4"/>
  <c r="E37" i="4"/>
  <c r="E38" i="4"/>
  <c r="E39" i="4"/>
  <c r="E40" i="4"/>
  <c r="E41" i="4"/>
  <c r="E42" i="4"/>
  <c r="F192" i="4" s="1"/>
  <c r="E43" i="4"/>
  <c r="F243" i="4" s="1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F75" i="4" s="1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3" i="4"/>
  <c r="E4" i="4"/>
  <c r="E5" i="4"/>
  <c r="E6" i="4"/>
  <c r="F219" i="4" l="1"/>
  <c r="F40" i="4"/>
  <c r="F40" i="1" s="1"/>
  <c r="F28" i="4"/>
  <c r="F28" i="1" s="1"/>
  <c r="F16" i="4"/>
  <c r="F16" i="1" s="1"/>
  <c r="F226" i="4"/>
  <c r="F199" i="4"/>
  <c r="F213" i="4"/>
  <c r="F77" i="4"/>
  <c r="F65" i="4"/>
  <c r="F214" i="4"/>
  <c r="F231" i="4"/>
  <c r="F101" i="4"/>
  <c r="F55" i="4"/>
  <c r="F72" i="4"/>
  <c r="F52" i="4"/>
  <c r="F89" i="4"/>
  <c r="F225" i="4"/>
  <c r="F56" i="4"/>
  <c r="F3" i="4"/>
  <c r="F3" i="1" s="1"/>
  <c r="G3" i="1" s="1"/>
  <c r="I3" i="1" s="1"/>
  <c r="F60" i="4"/>
  <c r="F54" i="4"/>
  <c r="F149" i="4"/>
  <c r="F137" i="4"/>
  <c r="F125" i="4"/>
  <c r="F113" i="4"/>
  <c r="F228" i="4"/>
  <c r="F63" i="4"/>
  <c r="F100" i="4"/>
  <c r="F76" i="4"/>
  <c r="F53" i="4"/>
  <c r="F10" i="4"/>
  <c r="F10" i="1" s="1"/>
  <c r="F148" i="4"/>
  <c r="F136" i="4"/>
  <c r="F124" i="4"/>
  <c r="F112" i="4"/>
  <c r="F207" i="4"/>
  <c r="F171" i="4"/>
  <c r="F9" i="4"/>
  <c r="F9" i="1" s="1"/>
  <c r="F197" i="4"/>
  <c r="F185" i="4"/>
  <c r="F173" i="4"/>
  <c r="F161" i="4"/>
  <c r="F216" i="4"/>
  <c r="F240" i="4"/>
  <c r="F64" i="4"/>
  <c r="F195" i="4"/>
  <c r="F196" i="4"/>
  <c r="F184" i="4"/>
  <c r="F172" i="4"/>
  <c r="F160" i="4"/>
  <c r="F204" i="4"/>
  <c r="F88" i="4"/>
  <c r="F51" i="4"/>
  <c r="F51" i="1" s="1"/>
  <c r="F245" i="4"/>
  <c r="F233" i="4"/>
  <c r="F221" i="4"/>
  <c r="F209" i="4"/>
  <c r="F36" i="4"/>
  <c r="F36" i="1" s="1"/>
  <c r="F2" i="4"/>
  <c r="F2" i="1" s="1"/>
  <c r="F168" i="4"/>
  <c r="F156" i="4"/>
  <c r="F244" i="4"/>
  <c r="F232" i="4"/>
  <c r="F220" i="4"/>
  <c r="F208" i="4"/>
  <c r="F183" i="4"/>
  <c r="F180" i="4"/>
  <c r="F39" i="4"/>
  <c r="F39" i="1" s="1"/>
  <c r="G39" i="1" s="1"/>
  <c r="I39" i="1" s="1"/>
  <c r="F27" i="4"/>
  <c r="F27" i="1" s="1"/>
  <c r="F43" i="4"/>
  <c r="F43" i="1" s="1"/>
  <c r="F31" i="4"/>
  <c r="F31" i="1" s="1"/>
  <c r="F19" i="4"/>
  <c r="F19" i="1" s="1"/>
  <c r="F7" i="4"/>
  <c r="F7" i="1" s="1"/>
  <c r="F99" i="4"/>
  <c r="F48" i="4"/>
  <c r="F48" i="1" s="1"/>
  <c r="F250" i="4"/>
  <c r="F238" i="4"/>
  <c r="F42" i="4"/>
  <c r="F42" i="1" s="1"/>
  <c r="F30" i="4"/>
  <c r="F30" i="1" s="1"/>
  <c r="F18" i="4"/>
  <c r="F18" i="1" s="1"/>
  <c r="F6" i="4"/>
  <c r="F6" i="1" s="1"/>
  <c r="F96" i="4"/>
  <c r="F12" i="4"/>
  <c r="F12" i="1" s="1"/>
  <c r="F237" i="4"/>
  <c r="F251" i="4"/>
  <c r="F239" i="4"/>
  <c r="F15" i="4"/>
  <c r="F15" i="1" s="1"/>
  <c r="F41" i="4"/>
  <c r="F41" i="1" s="1"/>
  <c r="F29" i="4"/>
  <c r="F29" i="1" s="1"/>
  <c r="F17" i="4"/>
  <c r="F17" i="1" s="1"/>
  <c r="F249" i="4"/>
  <c r="F87" i="4"/>
  <c r="F111" i="4"/>
  <c r="F5" i="4"/>
  <c r="F5" i="1" s="1"/>
  <c r="F218" i="4"/>
  <c r="F206" i="4"/>
  <c r="F182" i="4"/>
  <c r="F170" i="4"/>
  <c r="F158" i="4"/>
  <c r="F146" i="4"/>
  <c r="F134" i="4"/>
  <c r="F122" i="4"/>
  <c r="F110" i="4"/>
  <c r="F98" i="4"/>
  <c r="F86" i="4"/>
  <c r="F74" i="4"/>
  <c r="F62" i="4"/>
  <c r="F50" i="4"/>
  <c r="F50" i="1" s="1"/>
  <c r="F38" i="4"/>
  <c r="F38" i="1" s="1"/>
  <c r="F26" i="4"/>
  <c r="F26" i="1" s="1"/>
  <c r="F14" i="4"/>
  <c r="F14" i="1" s="1"/>
  <c r="F135" i="4"/>
  <c r="F242" i="4"/>
  <c r="F230" i="4"/>
  <c r="F194" i="4"/>
  <c r="F4" i="4"/>
  <c r="F4" i="1" s="1"/>
  <c r="F241" i="4"/>
  <c r="F229" i="4"/>
  <c r="F217" i="4"/>
  <c r="F205" i="4"/>
  <c r="F193" i="4"/>
  <c r="F181" i="4"/>
  <c r="F169" i="4"/>
  <c r="F157" i="4"/>
  <c r="F145" i="4"/>
  <c r="F133" i="4"/>
  <c r="F121" i="4"/>
  <c r="F109" i="4"/>
  <c r="F97" i="4"/>
  <c r="F85" i="4"/>
  <c r="F73" i="4"/>
  <c r="F61" i="4"/>
  <c r="F49" i="4"/>
  <c r="F49" i="1" s="1"/>
  <c r="G49" i="1" s="1"/>
  <c r="I49" i="1" s="1"/>
  <c r="F37" i="4"/>
  <c r="F37" i="1" s="1"/>
  <c r="F25" i="4"/>
  <c r="F25" i="1" s="1"/>
  <c r="F13" i="4"/>
  <c r="F13" i="1" s="1"/>
  <c r="F147" i="4"/>
  <c r="F24" i="4"/>
  <c r="F24" i="1" s="1"/>
  <c r="F227" i="4"/>
  <c r="F215" i="4"/>
  <c r="F203" i="4"/>
  <c r="F191" i="4"/>
  <c r="F179" i="4"/>
  <c r="F167" i="4"/>
  <c r="F155" i="4"/>
  <c r="F143" i="4"/>
  <c r="F131" i="4"/>
  <c r="F119" i="4"/>
  <c r="F107" i="4"/>
  <c r="F95" i="4"/>
  <c r="F83" i="4"/>
  <c r="F71" i="4"/>
  <c r="F59" i="4"/>
  <c r="F47" i="4"/>
  <c r="F47" i="1" s="1"/>
  <c r="F35" i="4"/>
  <c r="F35" i="1" s="1"/>
  <c r="F23" i="4"/>
  <c r="F23" i="1" s="1"/>
  <c r="F159" i="4"/>
  <c r="F108" i="4"/>
  <c r="F202" i="4"/>
  <c r="F190" i="4"/>
  <c r="F178" i="4"/>
  <c r="F166" i="4"/>
  <c r="F154" i="4"/>
  <c r="F142" i="4"/>
  <c r="F130" i="4"/>
  <c r="F118" i="4"/>
  <c r="F106" i="4"/>
  <c r="F94" i="4"/>
  <c r="F82" i="4"/>
  <c r="F70" i="4"/>
  <c r="F58" i="4"/>
  <c r="F46" i="4"/>
  <c r="F46" i="1" s="1"/>
  <c r="F34" i="4"/>
  <c r="F34" i="1" s="1"/>
  <c r="F22" i="4"/>
  <c r="F22" i="1" s="1"/>
  <c r="F132" i="4"/>
  <c r="F201" i="4"/>
  <c r="F189" i="4"/>
  <c r="F177" i="4"/>
  <c r="F165" i="4"/>
  <c r="F153" i="4"/>
  <c r="F141" i="4"/>
  <c r="F129" i="4"/>
  <c r="F117" i="4"/>
  <c r="F105" i="4"/>
  <c r="F93" i="4"/>
  <c r="F81" i="4"/>
  <c r="F69" i="4"/>
  <c r="F57" i="4"/>
  <c r="F45" i="4"/>
  <c r="F45" i="1" s="1"/>
  <c r="F33" i="4"/>
  <c r="F33" i="1" s="1"/>
  <c r="F21" i="4"/>
  <c r="F21" i="1" s="1"/>
  <c r="F248" i="4"/>
  <c r="F236" i="4"/>
  <c r="F224" i="4"/>
  <c r="F212" i="4"/>
  <c r="F200" i="4"/>
  <c r="F188" i="4"/>
  <c r="F176" i="4"/>
  <c r="F164" i="4"/>
  <c r="F152" i="4"/>
  <c r="F140" i="4"/>
  <c r="F128" i="4"/>
  <c r="F116" i="4"/>
  <c r="F104" i="4"/>
  <c r="F92" i="4"/>
  <c r="F80" i="4"/>
  <c r="F68" i="4"/>
  <c r="F44" i="4"/>
  <c r="F44" i="1" s="1"/>
  <c r="F32" i="4"/>
  <c r="F32" i="1" s="1"/>
  <c r="F20" i="4"/>
  <c r="F20" i="1" s="1"/>
  <c r="G20" i="1" s="1"/>
  <c r="I20" i="1" s="1"/>
  <c r="F123" i="4"/>
  <c r="F247" i="4"/>
  <c r="F235" i="4"/>
  <c r="F223" i="4"/>
  <c r="F211" i="4"/>
  <c r="F187" i="4"/>
  <c r="F175" i="4"/>
  <c r="F163" i="4"/>
  <c r="F151" i="4"/>
  <c r="F139" i="4"/>
  <c r="F127" i="4"/>
  <c r="F115" i="4"/>
  <c r="F103" i="4"/>
  <c r="F91" i="4"/>
  <c r="F79" i="4"/>
  <c r="F67" i="4"/>
  <c r="F234" i="4"/>
  <c r="F210" i="4"/>
  <c r="F186" i="4"/>
  <c r="F174" i="4"/>
  <c r="F162" i="4"/>
  <c r="F150" i="4"/>
  <c r="F138" i="4"/>
  <c r="F126" i="4"/>
  <c r="F114" i="4"/>
  <c r="F102" i="4"/>
  <c r="F90" i="4"/>
  <c r="F78" i="4"/>
  <c r="F66" i="4"/>
  <c r="F144" i="4"/>
  <c r="F120" i="4"/>
  <c r="F11" i="4"/>
  <c r="F11" i="1" s="1"/>
  <c r="F246" i="4"/>
  <c r="F222" i="4"/>
  <c r="F198" i="4"/>
  <c r="F8" i="4"/>
  <c r="F8" i="1" s="1"/>
  <c r="G17" i="1"/>
  <c r="I17" i="1" s="1"/>
  <c r="G27" i="1"/>
  <c r="I27" i="1" s="1"/>
  <c r="G38" i="1"/>
  <c r="I38" i="1" s="1"/>
  <c r="G14" i="1"/>
  <c r="I14" i="1" s="1"/>
  <c r="G37" i="1"/>
  <c r="I37" i="1" s="1"/>
  <c r="D3" i="1"/>
  <c r="H3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2" i="1"/>
  <c r="H2" i="1" s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E3" i="1"/>
  <c r="E4" i="1"/>
  <c r="E5" i="1"/>
  <c r="E6" i="1"/>
  <c r="G6" i="1" s="1"/>
  <c r="I6" i="1" s="1"/>
  <c r="E7" i="1"/>
  <c r="G7" i="1" s="1"/>
  <c r="I7" i="1" s="1"/>
  <c r="E8" i="1"/>
  <c r="E9" i="1"/>
  <c r="G9" i="1" s="1"/>
  <c r="I9" i="1" s="1"/>
  <c r="E10" i="1"/>
  <c r="E11" i="1"/>
  <c r="E12" i="1"/>
  <c r="E13" i="1"/>
  <c r="G13" i="1" s="1"/>
  <c r="I13" i="1" s="1"/>
  <c r="E14" i="1"/>
  <c r="E15" i="1"/>
  <c r="G15" i="1" s="1"/>
  <c r="I15" i="1" s="1"/>
  <c r="E16" i="1"/>
  <c r="G16" i="1" s="1"/>
  <c r="I16" i="1" s="1"/>
  <c r="E17" i="1"/>
  <c r="E18" i="1"/>
  <c r="E19" i="1"/>
  <c r="E20" i="1"/>
  <c r="E21" i="1"/>
  <c r="E22" i="1"/>
  <c r="E23" i="1"/>
  <c r="E24" i="1"/>
  <c r="G24" i="1" s="1"/>
  <c r="I24" i="1" s="1"/>
  <c r="E25" i="1"/>
  <c r="G25" i="1" s="1"/>
  <c r="I25" i="1" s="1"/>
  <c r="E26" i="1"/>
  <c r="G26" i="1" s="1"/>
  <c r="I26" i="1" s="1"/>
  <c r="E27" i="1"/>
  <c r="E28" i="1"/>
  <c r="G28" i="1" s="1"/>
  <c r="I28" i="1" s="1"/>
  <c r="E29" i="1"/>
  <c r="G29" i="1" s="1"/>
  <c r="I29" i="1" s="1"/>
  <c r="E30" i="1"/>
  <c r="E31" i="1"/>
  <c r="E32" i="1"/>
  <c r="E33" i="1"/>
  <c r="G33" i="1" s="1"/>
  <c r="I33" i="1" s="1"/>
  <c r="E34" i="1"/>
  <c r="E35" i="1"/>
  <c r="E36" i="1"/>
  <c r="E37" i="1"/>
  <c r="E38" i="1"/>
  <c r="E39" i="1"/>
  <c r="E40" i="1"/>
  <c r="G40" i="1" s="1"/>
  <c r="I40" i="1" s="1"/>
  <c r="E41" i="1"/>
  <c r="G41" i="1" s="1"/>
  <c r="I41" i="1" s="1"/>
  <c r="E42" i="1"/>
  <c r="G42" i="1" s="1"/>
  <c r="I42" i="1" s="1"/>
  <c r="E43" i="1"/>
  <c r="G43" i="1" s="1"/>
  <c r="I43" i="1" s="1"/>
  <c r="E44" i="1"/>
  <c r="E45" i="1"/>
  <c r="E46" i="1"/>
  <c r="E47" i="1"/>
  <c r="E48" i="1"/>
  <c r="G48" i="1" s="1"/>
  <c r="I48" i="1" s="1"/>
  <c r="E49" i="1"/>
  <c r="E50" i="1"/>
  <c r="E51" i="1"/>
  <c r="G51" i="1" s="1"/>
  <c r="I51" i="1" s="1"/>
  <c r="E2" i="1"/>
  <c r="G45" i="1" l="1"/>
  <c r="I45" i="1" s="1"/>
  <c r="G46" i="1"/>
  <c r="I46" i="1" s="1"/>
  <c r="G34" i="1"/>
  <c r="I34" i="1" s="1"/>
  <c r="G22" i="1"/>
  <c r="I22" i="1" s="1"/>
  <c r="G2" i="1"/>
  <c r="I2" i="1" s="1"/>
  <c r="G31" i="1"/>
  <c r="I31" i="1" s="1"/>
  <c r="G19" i="1"/>
  <c r="I19" i="1" s="1"/>
  <c r="G5" i="1"/>
  <c r="I5" i="1" s="1"/>
  <c r="G50" i="1"/>
  <c r="I50" i="1" s="1"/>
  <c r="G12" i="1"/>
  <c r="I12" i="1" s="1"/>
  <c r="G36" i="1"/>
  <c r="I36" i="1" s="1"/>
  <c r="G10" i="1"/>
  <c r="I10" i="1" s="1"/>
  <c r="G8" i="1"/>
  <c r="I8" i="1" s="1"/>
  <c r="G32" i="1"/>
  <c r="I32" i="1" s="1"/>
  <c r="G44" i="1"/>
  <c r="I44" i="1" s="1"/>
  <c r="G30" i="1"/>
  <c r="I30" i="1" s="1"/>
  <c r="G18" i="1"/>
  <c r="I18" i="1" s="1"/>
  <c r="G4" i="1"/>
  <c r="I4" i="1" s="1"/>
  <c r="G47" i="1"/>
  <c r="I47" i="1" s="1"/>
  <c r="G35" i="1"/>
  <c r="I35" i="1" s="1"/>
  <c r="G23" i="1"/>
  <c r="I23" i="1" s="1"/>
  <c r="G11" i="1"/>
  <c r="I11" i="1" s="1"/>
  <c r="G21" i="1"/>
  <c r="I21" i="1" s="1"/>
</calcChain>
</file>

<file path=xl/sharedStrings.xml><?xml version="1.0" encoding="utf-8"?>
<sst xmlns="http://schemas.openxmlformats.org/spreadsheetml/2006/main" count="850" uniqueCount="146">
  <si>
    <t>Name</t>
  </si>
  <si>
    <t>Month</t>
  </si>
  <si>
    <t>Contact</t>
  </si>
  <si>
    <t>Group/Department</t>
  </si>
  <si>
    <t>Total Days Present</t>
  </si>
  <si>
    <t>Attendee 1</t>
  </si>
  <si>
    <t>Attendee 2</t>
  </si>
  <si>
    <t>Attendee 3</t>
  </si>
  <si>
    <t>Attendee 4</t>
  </si>
  <si>
    <t>Attendee 5</t>
  </si>
  <si>
    <t>Attendee 6</t>
  </si>
  <si>
    <t>Attendee 7</t>
  </si>
  <si>
    <t>Attendee 8</t>
  </si>
  <si>
    <t>Attendee 9</t>
  </si>
  <si>
    <t>Attendee 10</t>
  </si>
  <si>
    <t>Attendee 11</t>
  </si>
  <si>
    <t>Attendee 12</t>
  </si>
  <si>
    <t>Attendee 13</t>
  </si>
  <si>
    <t>Attendee 14</t>
  </si>
  <si>
    <t>Attendee 15</t>
  </si>
  <si>
    <t>Attendee 16</t>
  </si>
  <si>
    <t>Attendee 17</t>
  </si>
  <si>
    <t>Attendee 18</t>
  </si>
  <si>
    <t>Attendee 19</t>
  </si>
  <si>
    <t>Attendee 20</t>
  </si>
  <si>
    <t>Attendee 21</t>
  </si>
  <si>
    <t>Attendee 22</t>
  </si>
  <si>
    <t>Attendee 23</t>
  </si>
  <si>
    <t>Attendee 24</t>
  </si>
  <si>
    <t>Attendee 25</t>
  </si>
  <si>
    <t>Attendee 26</t>
  </si>
  <si>
    <t>Attendee 27</t>
  </si>
  <si>
    <t>Attendee 28</t>
  </si>
  <si>
    <t>Attendee 29</t>
  </si>
  <si>
    <t>Attendee 30</t>
  </si>
  <si>
    <t>Attendee 31</t>
  </si>
  <si>
    <t>Attendee 32</t>
  </si>
  <si>
    <t>Attendee 33</t>
  </si>
  <si>
    <t>Attendee 34</t>
  </si>
  <si>
    <t>Attendee 35</t>
  </si>
  <si>
    <t>Attendee 36</t>
  </si>
  <si>
    <t>Attendee 37</t>
  </si>
  <si>
    <t>Attendee 38</t>
  </si>
  <si>
    <t>Attendee 39</t>
  </si>
  <si>
    <t>Attendee 40</t>
  </si>
  <si>
    <t>Attendee 41</t>
  </si>
  <si>
    <t>Attendee 42</t>
  </si>
  <si>
    <t>Attendee 43</t>
  </si>
  <si>
    <t>Attendee 44</t>
  </si>
  <si>
    <t>Attendee 45</t>
  </si>
  <si>
    <t>Attendee 46</t>
  </si>
  <si>
    <t>Attendee 47</t>
  </si>
  <si>
    <t>Attendee 48</t>
  </si>
  <si>
    <t>Attendee 49</t>
  </si>
  <si>
    <t>Attendee 50</t>
  </si>
  <si>
    <t>Email Address</t>
  </si>
  <si>
    <t>attendee1@company.com</t>
  </si>
  <si>
    <t>attendee2@company.com</t>
  </si>
  <si>
    <t>attendee3@company.com</t>
  </si>
  <si>
    <t>attendee4@company.com</t>
  </si>
  <si>
    <t>attendee5@company.com</t>
  </si>
  <si>
    <t>attendee6@company.com</t>
  </si>
  <si>
    <t>attendee7@company.com</t>
  </si>
  <si>
    <t>attendee8@company.com</t>
  </si>
  <si>
    <t>attendee9@company.com</t>
  </si>
  <si>
    <t>attendee10@company.com</t>
  </si>
  <si>
    <t>attendee11@company.com</t>
  </si>
  <si>
    <t>attendee12@company.com</t>
  </si>
  <si>
    <t>attendee13@company.com</t>
  </si>
  <si>
    <t>attendee14@company.com</t>
  </si>
  <si>
    <t>attendee15@company.com</t>
  </si>
  <si>
    <t>attendee16@company.com</t>
  </si>
  <si>
    <t>attendee17@company.com</t>
  </si>
  <si>
    <t>attendee18@company.com</t>
  </si>
  <si>
    <t>attendee19@company.com</t>
  </si>
  <si>
    <t>attendee20@company.com</t>
  </si>
  <si>
    <t>attendee21@company.com</t>
  </si>
  <si>
    <t>attendee22@company.com</t>
  </si>
  <si>
    <t>attendee23@company.com</t>
  </si>
  <si>
    <t>attendee24@company.com</t>
  </si>
  <si>
    <t>attendee25@company.com</t>
  </si>
  <si>
    <t>attendee26@company.com</t>
  </si>
  <si>
    <t>attendee27@company.com</t>
  </si>
  <si>
    <t>attendee28@company.com</t>
  </si>
  <si>
    <t>attendee29@company.com</t>
  </si>
  <si>
    <t>attendee30@company.com</t>
  </si>
  <si>
    <t>attendee31@company.com</t>
  </si>
  <si>
    <t>attendee32@company.com</t>
  </si>
  <si>
    <t>attendee33@company.com</t>
  </si>
  <si>
    <t>attendee34@company.com</t>
  </si>
  <si>
    <t>attendee35@company.com</t>
  </si>
  <si>
    <t>attendee36@company.com</t>
  </si>
  <si>
    <t>attendee37@company.com</t>
  </si>
  <si>
    <t>attendee38@company.com</t>
  </si>
  <si>
    <t>attendee39@company.com</t>
  </si>
  <si>
    <t>attendee40@company.com</t>
  </si>
  <si>
    <t>attendee41@company.com</t>
  </si>
  <si>
    <t>attendee42@company.com</t>
  </si>
  <si>
    <t>attendee43@company.com</t>
  </si>
  <si>
    <t>attendee44@company.com</t>
  </si>
  <si>
    <t>attendee45@company.com</t>
  </si>
  <si>
    <t>attendee46@company.com</t>
  </si>
  <si>
    <t>attendee47@company.com</t>
  </si>
  <si>
    <t>attendee48@company.com</t>
  </si>
  <si>
    <t>attendee49@company.com</t>
  </si>
  <si>
    <t>attendee50@company.com</t>
  </si>
  <si>
    <t>Department</t>
  </si>
  <si>
    <t>Legend</t>
  </si>
  <si>
    <t>Marketing</t>
  </si>
  <si>
    <t xml:space="preserve">Department </t>
  </si>
  <si>
    <t>Group</t>
  </si>
  <si>
    <t>Sales</t>
  </si>
  <si>
    <t>A</t>
  </si>
  <si>
    <t>HR</t>
  </si>
  <si>
    <t>B</t>
  </si>
  <si>
    <t>IT</t>
  </si>
  <si>
    <t>C</t>
  </si>
  <si>
    <t>Finance</t>
  </si>
  <si>
    <t>D</t>
  </si>
  <si>
    <t>E</t>
  </si>
  <si>
    <t>Date</t>
  </si>
  <si>
    <t>Attended</t>
  </si>
  <si>
    <t>Yes</t>
  </si>
  <si>
    <t>No</t>
  </si>
  <si>
    <t>Actual Days Present</t>
  </si>
  <si>
    <t>Days Present</t>
  </si>
  <si>
    <t>Attendance Percentage</t>
  </si>
  <si>
    <t>Attendance Threshold</t>
  </si>
  <si>
    <t>Requirements Met</t>
  </si>
  <si>
    <t>Minimum Attendance %</t>
  </si>
  <si>
    <t>Day</t>
  </si>
  <si>
    <t>Row Labels</t>
  </si>
  <si>
    <t>Monday</t>
  </si>
  <si>
    <t>Tuesday</t>
  </si>
  <si>
    <t>Wednesday</t>
  </si>
  <si>
    <t>Thursday</t>
  </si>
  <si>
    <t>Friday</t>
  </si>
  <si>
    <t>Grand Total</t>
  </si>
  <si>
    <t>Count of Attended</t>
  </si>
  <si>
    <t>(All)</t>
  </si>
  <si>
    <t>Most Attended Day</t>
  </si>
  <si>
    <t>Least Attended Day</t>
  </si>
  <si>
    <t>Average of Attendance Percentage</t>
  </si>
  <si>
    <t>Employees</t>
  </si>
  <si>
    <t>Attendance Rate</t>
  </si>
  <si>
    <t>No. of Days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</si>
</sst>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Bahnschrift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4" tint="-0.24994659260841701"/>
      <name val="Aptos Narrow"/>
      <family val="2"/>
      <scheme val="minor"/>
    </font>
    <font>
      <b/>
      <sz val="11"/>
      <color theme="4" tint="-0.2499465926084170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2"/>
      </left>
      <right style="thick">
        <color theme="2"/>
      </right>
      <top/>
      <bottom/>
      <diagonal/>
    </border>
  </borders>
  <cellStyleXfs count="3">
    <xf numFmtId="0" fontId="0" fillId="0" borderId="0"/>
    <xf numFmtId="0" fontId="3" fillId="2" borderId="1"/>
    <xf numFmtId="0" fontId="6" fillId="5" borderId="3"/>
  </cellStyleXfs>
  <cellXfs count="23">
    <xf numFmtId="0" fontId="0" fillId="0" borderId="0" xfId="0"/>
    <xf numFmtId="0" fontId="3" fillId="2" borderId="1" xfId="1"/>
    <xf numFmtId="0" fontId="4" fillId="0" borderId="0" xfId="0" applyFont="1"/>
    <xf numFmtId="0" fontId="5" fillId="0" borderId="2" xfId="0" applyFont="1" applyBorder="1" applyAlignment="1">
      <alignment horizontal="center" vertical="top"/>
    </xf>
    <xf numFmtId="0" fontId="5" fillId="3" borderId="0" xfId="0" applyFont="1" applyFill="1"/>
    <xf numFmtId="0" fontId="5" fillId="4" borderId="0" xfId="0" applyFont="1" applyFill="1"/>
    <xf numFmtId="0" fontId="5" fillId="0" borderId="2" xfId="0" applyFont="1" applyBorder="1" applyAlignment="1">
      <alignment horizontal="center" vertical="top" wrapText="1"/>
    </xf>
    <xf numFmtId="15" fontId="4" fillId="0" borderId="0" xfId="0" applyNumberFormat="1" applyFont="1" applyAlignment="1">
      <alignment horizontal="right" wrapText="1"/>
    </xf>
    <xf numFmtId="0" fontId="1" fillId="0" borderId="0" xfId="0" applyFont="1"/>
    <xf numFmtId="17" fontId="0" fillId="0" borderId="0" xfId="0" applyNumberFormat="1"/>
    <xf numFmtId="17" fontId="3" fillId="2" borderId="1" xfId="1" applyNumberFormat="1"/>
    <xf numFmtId="0" fontId="6" fillId="5" borderId="3" xfId="2"/>
    <xf numFmtId="0" fontId="7" fillId="5" borderId="3" xfId="2" applyFont="1"/>
    <xf numFmtId="0" fontId="7" fillId="5" borderId="3" xfId="2" applyFont="1" applyAlignment="1">
      <alignment horizontal="center"/>
    </xf>
    <xf numFmtId="0" fontId="3" fillId="2" borderId="4" xfId="1" applyBorder="1"/>
    <xf numFmtId="0" fontId="2" fillId="0" borderId="0" xfId="0" applyFont="1"/>
    <xf numFmtId="0" fontId="3" fillId="2" borderId="4" xfId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3" xfId="0" applyNumberFormat="1" applyFont="1" applyFill="1" applyBorder="1" applyAlignment="1" applyProtection="1"/>
  </cellXfs>
  <cellStyles count="3">
    <cellStyle name="Body Cell" xfId="2" xr:uid="{356FC696-6166-4D3F-91A7-DC0DF20BB373}"/>
    <cellStyle name="Normal" xfId="0" builtinId="0"/>
    <cellStyle name="Report Header" xfId="1" xr:uid="{271A3E36-6744-4BE0-B965-90F9C85F4E4F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8" tint="0.59996337778862885"/>
        </patternFill>
      </fill>
    </dxf>
    <dxf>
      <font>
        <b/>
        <i val="0"/>
        <color rgb="FF8E7000"/>
      </font>
      <fill>
        <patternFill>
          <bgColor rgb="FFFFFF99"/>
        </patternFill>
      </fill>
    </dxf>
    <dxf>
      <font>
        <b/>
        <i val="0"/>
        <color rgb="FF9A0000"/>
      </font>
      <fill>
        <patternFill>
          <bgColor rgb="FFFF9999"/>
        </patternFill>
      </fill>
    </dxf>
    <dxf>
      <font>
        <b/>
        <i val="0"/>
        <color theme="0"/>
      </font>
      <fill>
        <patternFill>
          <bgColor theme="3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465926084170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465926084170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465926084170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465926084170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2" defaultPivotStyle="PivotStyleLight16"/>
  <colors>
    <mruColors>
      <color rgb="FFFFFF99"/>
      <color rgb="FF8ED973"/>
      <color rgb="FF9A0000"/>
      <color rgb="FFFF9999"/>
      <color rgb="FF8E7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[AttendanceTracker.xlsx]Attendance Summary!PivotTable2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Number of Attendeces Per day</a:t>
            </a:r>
          </a:p>
          <a:p>
            <a:pPr>
              <a:defRPr/>
            </a:pPr>
            <a:endParaRPr lang="en-AU"/>
          </a:p>
        </c:rich>
      </c:tx>
      <c:layout>
        <c:manualLayout>
          <c:xMode val="edge"/>
          <c:yMode val="edge"/>
          <c:x val="0.25535650838405027"/>
          <c:y val="0.195955619183965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'Attendance Summary'!$B$3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'Attendance Summary'!$A$4:$A$9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'Attendance Summary'!$B$4:$B$9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24</c:v>
                </c:pt>
                <c:pt idx="3">
                  <c:v>30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0-4639-A5B1-A4A30AA24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6330400"/>
        <c:axId val="696327520"/>
      </c:barChart>
      <c:catAx>
        <c:axId val="69633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27520"/>
        <c:crosses val="autoZero"/>
        <c:auto val="1"/>
        <c:lblAlgn val="ctr"/>
        <c:lblOffset val="100"/>
        <c:noMultiLvlLbl val="0"/>
      </c:catAx>
      <c:valAx>
        <c:axId val="69632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3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1131570</xdr:colOff>
      <xdr:row>0</xdr:row>
      <xdr:rowOff>7620</xdr:rowOff>
    </xdr:from>
    <xdr:to>
      <xdr:col>9</xdr:col>
      <xdr:colOff>563880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AF4638-DF01-6282-ED74-74A5F5CD0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mamul Kabir" refreshedDate="45977.60346539352" createdVersion="8" refreshedVersion="8" minRefreshableVersion="3" recordCount="250" xr:uid="{EDFD8AB7-9A0A-4745-8881-6487423594EE}">
  <cacheSource type="worksheet">
    <worksheetSource ref="A1:F251" sheet="List 3"/>
  </cacheSource>
  <cacheFields count="6">
    <cacheField name="Name" numFmtId="0">
      <sharedItems/>
    </cacheField>
    <cacheField name="Date" numFmtId="15">
      <sharedItems containsSemiMixedTypes="0" containsNonDate="0" containsDate="1" containsString="0" minDate="2024-07-01T00:00:00" maxDate="2024-07-06T00:00:00"/>
    </cacheField>
    <cacheField name="Day" numFmtId="15">
      <sharedItems count="5">
        <s v="Monday"/>
        <s v="Tuesday"/>
        <s v="Wednesday"/>
        <s v="Thursday"/>
        <s v="Friday"/>
      </sharedItems>
    </cacheField>
    <cacheField name="Attended" numFmtId="0">
      <sharedItems count="2">
        <s v="Yes"/>
        <s v="No"/>
      </sharedItems>
    </cacheField>
    <cacheField name="Days Present" numFmtId="0">
      <sharedItems containsSemiMixedTypes="0" containsString="0" containsNumber="1" containsInteger="1" minValue="0" maxValue="1" count="2">
        <n v="1"/>
        <n v="0"/>
      </sharedItems>
    </cacheField>
    <cacheField name="Total Days Present" numFmtId="0">
      <sharedItems containsSemiMixedTypes="0" containsString="0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mamul Kabir" refreshedDate="45977.617140046299" createdVersion="8" refreshedVersion="8" minRefreshableVersion="3" recordCount="50" xr:uid="{692B48ED-25F9-4581-AD0B-FE5DE87D6A61}">
  <cacheSource type="worksheet">
    <worksheetSource name="Table1"/>
  </cacheSource>
  <cacheFields count="9">
    <cacheField name="Name" numFmtId="0">
      <sharedItems count="50">
        <s v="Attendee 1"/>
        <s v="Attendee 2"/>
        <s v="Attendee 3"/>
        <s v="Attendee 4"/>
        <s v="Attendee 5"/>
        <s v="Attendee 6"/>
        <s v="Attendee 7"/>
        <s v="Attendee 8"/>
        <s v="Attendee 9"/>
        <s v="Attendee 10"/>
        <s v="Attendee 11"/>
        <s v="Attendee 12"/>
        <s v="Attendee 13"/>
        <s v="Attendee 14"/>
        <s v="Attendee 15"/>
        <s v="Attendee 16"/>
        <s v="Attendee 17"/>
        <s v="Attendee 18"/>
        <s v="Attendee 19"/>
        <s v="Attendee 20"/>
        <s v="Attendee 21"/>
        <s v="Attendee 22"/>
        <s v="Attendee 23"/>
        <s v="Attendee 24"/>
        <s v="Attendee 25"/>
        <s v="Attendee 26"/>
        <s v="Attendee 27"/>
        <s v="Attendee 28"/>
        <s v="Attendee 29"/>
        <s v="Attendee 30"/>
        <s v="Attendee 31"/>
        <s v="Attendee 32"/>
        <s v="Attendee 33"/>
        <s v="Attendee 34"/>
        <s v="Attendee 35"/>
        <s v="Attendee 36"/>
        <s v="Attendee 37"/>
        <s v="Attendee 38"/>
        <s v="Attendee 39"/>
        <s v="Attendee 40"/>
        <s v="Attendee 41"/>
        <s v="Attendee 42"/>
        <s v="Attendee 43"/>
        <s v="Attendee 44"/>
        <s v="Attendee 45"/>
        <s v="Attendee 46"/>
        <s v="Attendee 47"/>
        <s v="Attendee 48"/>
        <s v="Attendee 49"/>
        <s v="Attendee 50"/>
      </sharedItems>
    </cacheField>
    <cacheField name="Month" numFmtId="0">
      <sharedItems containsSemiMixedTypes="0" containsString="0" containsNumber="1" containsInteger="1" minValue="45474" maxValue="45474"/>
    </cacheField>
    <cacheField name="Contact" numFmtId="0">
      <sharedItems/>
    </cacheField>
    <cacheField name="Group/Department" numFmtId="0">
      <sharedItems count="5">
        <s v="Marketing"/>
        <s v="Sales"/>
        <s v="HR"/>
        <s v="IT"/>
        <s v="Finance"/>
      </sharedItems>
    </cacheField>
    <cacheField name="Total Days Present" numFmtId="0">
      <sharedItems containsSemiMixedTypes="0" containsString="0" containsNumber="1" containsInteger="1" minValue="5" maxValue="5"/>
    </cacheField>
    <cacheField name="Actual Days Present" numFmtId="0">
      <sharedItems containsSemiMixedTypes="0" containsString="0" containsNumber="1" containsInteger="1" minValue="0" maxValue="5" count="6">
        <n v="2"/>
        <n v="3"/>
        <n v="4"/>
        <n v="0"/>
        <n v="1"/>
        <n v="5"/>
      </sharedItems>
    </cacheField>
    <cacheField name="Attendance Percentage" numFmtId="0">
      <sharedItems containsSemiMixedTypes="0" containsString="0" containsNumber="1" containsInteger="1" minValue="0" maxValue="100" count="6">
        <n v="40"/>
        <n v="60"/>
        <n v="80"/>
        <n v="0"/>
        <n v="20"/>
        <n v="100"/>
      </sharedItems>
    </cacheField>
    <cacheField name="Minimum Attendance %" numFmtId="0">
      <sharedItems containsSemiMixedTypes="0" containsString="0" containsNumber="1" containsInteger="1" minValue="40" maxValue="80" count="2">
        <n v="80"/>
        <n v="40"/>
      </sharedItems>
    </cacheField>
    <cacheField name="Requirements Met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Attendee 1"/>
    <d v="2024-07-01T00:00:00"/>
    <x v="0"/>
    <x v="0"/>
    <x v="0"/>
    <n v="2"/>
  </r>
  <r>
    <s v="Attendee 2"/>
    <d v="2024-07-01T00:00:00"/>
    <x v="0"/>
    <x v="1"/>
    <x v="1"/>
    <n v="3"/>
  </r>
  <r>
    <s v="Attendee 3"/>
    <d v="2024-07-01T00:00:00"/>
    <x v="0"/>
    <x v="0"/>
    <x v="0"/>
    <n v="2"/>
  </r>
  <r>
    <s v="Attendee 4"/>
    <d v="2024-07-01T00:00:00"/>
    <x v="0"/>
    <x v="1"/>
    <x v="1"/>
    <n v="2"/>
  </r>
  <r>
    <s v="Attendee 5"/>
    <d v="2024-07-01T00:00:00"/>
    <x v="0"/>
    <x v="0"/>
    <x v="0"/>
    <n v="3"/>
  </r>
  <r>
    <s v="Attendee 6"/>
    <d v="2024-07-01T00:00:00"/>
    <x v="0"/>
    <x v="1"/>
    <x v="1"/>
    <n v="3"/>
  </r>
  <r>
    <s v="Attendee 7"/>
    <d v="2024-07-01T00:00:00"/>
    <x v="0"/>
    <x v="0"/>
    <x v="0"/>
    <n v="4"/>
  </r>
  <r>
    <s v="Attendee 8"/>
    <d v="2024-07-01T00:00:00"/>
    <x v="0"/>
    <x v="1"/>
    <x v="1"/>
    <n v="3"/>
  </r>
  <r>
    <s v="Attendee 9"/>
    <d v="2024-07-01T00:00:00"/>
    <x v="0"/>
    <x v="0"/>
    <x v="0"/>
    <n v="4"/>
  </r>
  <r>
    <s v="Attendee 10"/>
    <d v="2024-07-01T00:00:00"/>
    <x v="0"/>
    <x v="1"/>
    <x v="1"/>
    <n v="2"/>
  </r>
  <r>
    <s v="Attendee 11"/>
    <d v="2024-07-01T00:00:00"/>
    <x v="0"/>
    <x v="0"/>
    <x v="0"/>
    <n v="3"/>
  </r>
  <r>
    <s v="Attendee 12"/>
    <d v="2024-07-01T00:00:00"/>
    <x v="0"/>
    <x v="1"/>
    <x v="1"/>
    <n v="0"/>
  </r>
  <r>
    <s v="Attendee 13"/>
    <d v="2024-07-01T00:00:00"/>
    <x v="0"/>
    <x v="0"/>
    <x v="0"/>
    <n v="3"/>
  </r>
  <r>
    <s v="Attendee 14"/>
    <d v="2024-07-01T00:00:00"/>
    <x v="0"/>
    <x v="1"/>
    <x v="1"/>
    <n v="3"/>
  </r>
  <r>
    <s v="Attendee 15"/>
    <d v="2024-07-01T00:00:00"/>
    <x v="0"/>
    <x v="0"/>
    <x v="0"/>
    <n v="3"/>
  </r>
  <r>
    <s v="Attendee 16"/>
    <d v="2024-07-01T00:00:00"/>
    <x v="0"/>
    <x v="1"/>
    <x v="1"/>
    <n v="2"/>
  </r>
  <r>
    <s v="Attendee 17"/>
    <d v="2024-07-01T00:00:00"/>
    <x v="0"/>
    <x v="0"/>
    <x v="0"/>
    <n v="3"/>
  </r>
  <r>
    <s v="Attendee 18"/>
    <d v="2024-07-01T00:00:00"/>
    <x v="0"/>
    <x v="1"/>
    <x v="1"/>
    <n v="3"/>
  </r>
  <r>
    <s v="Attendee 19"/>
    <d v="2024-07-01T00:00:00"/>
    <x v="0"/>
    <x v="0"/>
    <x v="0"/>
    <n v="3"/>
  </r>
  <r>
    <s v="Attendee 20"/>
    <d v="2024-07-01T00:00:00"/>
    <x v="0"/>
    <x v="1"/>
    <x v="1"/>
    <n v="2"/>
  </r>
  <r>
    <s v="Attendee 21"/>
    <d v="2024-07-01T00:00:00"/>
    <x v="0"/>
    <x v="0"/>
    <x v="0"/>
    <n v="3"/>
  </r>
  <r>
    <s v="Attendee 22"/>
    <d v="2024-07-01T00:00:00"/>
    <x v="0"/>
    <x v="1"/>
    <x v="1"/>
    <n v="1"/>
  </r>
  <r>
    <s v="Attendee 23"/>
    <d v="2024-07-01T00:00:00"/>
    <x v="0"/>
    <x v="0"/>
    <x v="0"/>
    <n v="3"/>
  </r>
  <r>
    <s v="Attendee 24"/>
    <d v="2024-07-01T00:00:00"/>
    <x v="0"/>
    <x v="1"/>
    <x v="1"/>
    <n v="2"/>
  </r>
  <r>
    <s v="Attendee 25"/>
    <d v="2024-07-01T00:00:00"/>
    <x v="0"/>
    <x v="0"/>
    <x v="0"/>
    <n v="2"/>
  </r>
  <r>
    <s v="Attendee 26"/>
    <d v="2024-07-01T00:00:00"/>
    <x v="0"/>
    <x v="1"/>
    <x v="1"/>
    <n v="2"/>
  </r>
  <r>
    <s v="Attendee 27"/>
    <d v="2024-07-01T00:00:00"/>
    <x v="0"/>
    <x v="0"/>
    <x v="0"/>
    <n v="4"/>
  </r>
  <r>
    <s v="Attendee 28"/>
    <d v="2024-07-01T00:00:00"/>
    <x v="0"/>
    <x v="1"/>
    <x v="1"/>
    <n v="0"/>
  </r>
  <r>
    <s v="Attendee 29"/>
    <d v="2024-07-01T00:00:00"/>
    <x v="0"/>
    <x v="0"/>
    <x v="0"/>
    <n v="3"/>
  </r>
  <r>
    <s v="Attendee 30"/>
    <d v="2024-07-01T00:00:00"/>
    <x v="0"/>
    <x v="1"/>
    <x v="1"/>
    <n v="4"/>
  </r>
  <r>
    <s v="Attendee 31"/>
    <d v="2024-07-01T00:00:00"/>
    <x v="0"/>
    <x v="0"/>
    <x v="0"/>
    <n v="2"/>
  </r>
  <r>
    <s v="Attendee 32"/>
    <d v="2024-07-01T00:00:00"/>
    <x v="0"/>
    <x v="1"/>
    <x v="1"/>
    <n v="2"/>
  </r>
  <r>
    <s v="Attendee 33"/>
    <d v="2024-07-01T00:00:00"/>
    <x v="0"/>
    <x v="0"/>
    <x v="0"/>
    <n v="5"/>
  </r>
  <r>
    <s v="Attendee 34"/>
    <d v="2024-07-01T00:00:00"/>
    <x v="0"/>
    <x v="1"/>
    <x v="1"/>
    <n v="2"/>
  </r>
  <r>
    <s v="Attendee 35"/>
    <d v="2024-07-01T00:00:00"/>
    <x v="0"/>
    <x v="0"/>
    <x v="0"/>
    <n v="3"/>
  </r>
  <r>
    <s v="Attendee 36"/>
    <d v="2024-07-01T00:00:00"/>
    <x v="0"/>
    <x v="1"/>
    <x v="1"/>
    <n v="3"/>
  </r>
  <r>
    <s v="Attendee 37"/>
    <d v="2024-07-01T00:00:00"/>
    <x v="0"/>
    <x v="0"/>
    <x v="0"/>
    <n v="4"/>
  </r>
  <r>
    <s v="Attendee 38"/>
    <d v="2024-07-01T00:00:00"/>
    <x v="0"/>
    <x v="1"/>
    <x v="1"/>
    <n v="3"/>
  </r>
  <r>
    <s v="Attendee 39"/>
    <d v="2024-07-01T00:00:00"/>
    <x v="0"/>
    <x v="0"/>
    <x v="0"/>
    <n v="4"/>
  </r>
  <r>
    <s v="Attendee 40"/>
    <d v="2024-07-01T00:00:00"/>
    <x v="0"/>
    <x v="1"/>
    <x v="1"/>
    <n v="1"/>
  </r>
  <r>
    <s v="Attendee 41"/>
    <d v="2024-07-01T00:00:00"/>
    <x v="0"/>
    <x v="0"/>
    <x v="0"/>
    <n v="4"/>
  </r>
  <r>
    <s v="Attendee 42"/>
    <d v="2024-07-01T00:00:00"/>
    <x v="0"/>
    <x v="1"/>
    <x v="1"/>
    <n v="1"/>
  </r>
  <r>
    <s v="Attendee 43"/>
    <d v="2024-07-01T00:00:00"/>
    <x v="0"/>
    <x v="0"/>
    <x v="0"/>
    <n v="2"/>
  </r>
  <r>
    <s v="Attendee 44"/>
    <d v="2024-07-01T00:00:00"/>
    <x v="0"/>
    <x v="1"/>
    <x v="1"/>
    <n v="2"/>
  </r>
  <r>
    <s v="Attendee 45"/>
    <d v="2024-07-01T00:00:00"/>
    <x v="0"/>
    <x v="0"/>
    <x v="0"/>
    <n v="3"/>
  </r>
  <r>
    <s v="Attendee 46"/>
    <d v="2024-07-01T00:00:00"/>
    <x v="0"/>
    <x v="1"/>
    <x v="1"/>
    <n v="2"/>
  </r>
  <r>
    <s v="Attendee 47"/>
    <d v="2024-07-01T00:00:00"/>
    <x v="0"/>
    <x v="0"/>
    <x v="0"/>
    <n v="4"/>
  </r>
  <r>
    <s v="Attendee 48"/>
    <d v="2024-07-01T00:00:00"/>
    <x v="0"/>
    <x v="1"/>
    <x v="1"/>
    <n v="0"/>
  </r>
  <r>
    <s v="Attendee 49"/>
    <d v="2024-07-01T00:00:00"/>
    <x v="0"/>
    <x v="0"/>
    <x v="0"/>
    <n v="2"/>
  </r>
  <r>
    <s v="Attendee 50"/>
    <d v="2024-07-01T00:00:00"/>
    <x v="0"/>
    <x v="1"/>
    <x v="1"/>
    <n v="1"/>
  </r>
  <r>
    <s v="Attendee 1"/>
    <d v="2024-07-02T00:00:00"/>
    <x v="1"/>
    <x v="1"/>
    <x v="1"/>
    <n v="2"/>
  </r>
  <r>
    <s v="Attendee 2"/>
    <d v="2024-07-02T00:00:00"/>
    <x v="1"/>
    <x v="0"/>
    <x v="0"/>
    <n v="3"/>
  </r>
  <r>
    <s v="Attendee 3"/>
    <d v="2024-07-02T00:00:00"/>
    <x v="1"/>
    <x v="1"/>
    <x v="1"/>
    <n v="2"/>
  </r>
  <r>
    <s v="Attendee 4"/>
    <d v="2024-07-02T00:00:00"/>
    <x v="1"/>
    <x v="1"/>
    <x v="1"/>
    <n v="2"/>
  </r>
  <r>
    <s v="Attendee 5"/>
    <d v="2024-07-02T00:00:00"/>
    <x v="1"/>
    <x v="1"/>
    <x v="1"/>
    <n v="3"/>
  </r>
  <r>
    <s v="Attendee 6"/>
    <d v="2024-07-02T00:00:00"/>
    <x v="1"/>
    <x v="1"/>
    <x v="1"/>
    <n v="3"/>
  </r>
  <r>
    <s v="Attendee 7"/>
    <d v="2024-07-02T00:00:00"/>
    <x v="1"/>
    <x v="1"/>
    <x v="1"/>
    <n v="4"/>
  </r>
  <r>
    <s v="Attendee 8"/>
    <d v="2024-07-02T00:00:00"/>
    <x v="1"/>
    <x v="0"/>
    <x v="0"/>
    <n v="3"/>
  </r>
  <r>
    <s v="Attendee 9"/>
    <d v="2024-07-02T00:00:00"/>
    <x v="1"/>
    <x v="0"/>
    <x v="0"/>
    <n v="4"/>
  </r>
  <r>
    <s v="Attendee 10"/>
    <d v="2024-07-02T00:00:00"/>
    <x v="1"/>
    <x v="0"/>
    <x v="0"/>
    <n v="2"/>
  </r>
  <r>
    <s v="Attendee 11"/>
    <d v="2024-07-02T00:00:00"/>
    <x v="1"/>
    <x v="1"/>
    <x v="1"/>
    <n v="3"/>
  </r>
  <r>
    <s v="Attendee 12"/>
    <d v="2024-07-02T00:00:00"/>
    <x v="1"/>
    <x v="1"/>
    <x v="1"/>
    <n v="0"/>
  </r>
  <r>
    <s v="Attendee 13"/>
    <d v="2024-07-02T00:00:00"/>
    <x v="1"/>
    <x v="0"/>
    <x v="0"/>
    <n v="3"/>
  </r>
  <r>
    <s v="Attendee 14"/>
    <d v="2024-07-02T00:00:00"/>
    <x v="1"/>
    <x v="0"/>
    <x v="0"/>
    <n v="3"/>
  </r>
  <r>
    <s v="Attendee 15"/>
    <d v="2024-07-02T00:00:00"/>
    <x v="1"/>
    <x v="0"/>
    <x v="0"/>
    <n v="3"/>
  </r>
  <r>
    <s v="Attendee 16"/>
    <d v="2024-07-02T00:00:00"/>
    <x v="1"/>
    <x v="1"/>
    <x v="1"/>
    <n v="2"/>
  </r>
  <r>
    <s v="Attendee 17"/>
    <d v="2024-07-02T00:00:00"/>
    <x v="1"/>
    <x v="1"/>
    <x v="1"/>
    <n v="3"/>
  </r>
  <r>
    <s v="Attendee 18"/>
    <d v="2024-07-02T00:00:00"/>
    <x v="1"/>
    <x v="0"/>
    <x v="0"/>
    <n v="3"/>
  </r>
  <r>
    <s v="Attendee 19"/>
    <d v="2024-07-02T00:00:00"/>
    <x v="1"/>
    <x v="0"/>
    <x v="0"/>
    <n v="3"/>
  </r>
  <r>
    <s v="Attendee 20"/>
    <d v="2024-07-02T00:00:00"/>
    <x v="1"/>
    <x v="1"/>
    <x v="1"/>
    <n v="2"/>
  </r>
  <r>
    <s v="Attendee 21"/>
    <d v="2024-07-02T00:00:00"/>
    <x v="1"/>
    <x v="1"/>
    <x v="1"/>
    <n v="3"/>
  </r>
  <r>
    <s v="Attendee 22"/>
    <d v="2024-07-02T00:00:00"/>
    <x v="1"/>
    <x v="0"/>
    <x v="0"/>
    <n v="1"/>
  </r>
  <r>
    <s v="Attendee 23"/>
    <d v="2024-07-02T00:00:00"/>
    <x v="1"/>
    <x v="0"/>
    <x v="0"/>
    <n v="3"/>
  </r>
  <r>
    <s v="Attendee 24"/>
    <d v="2024-07-02T00:00:00"/>
    <x v="1"/>
    <x v="0"/>
    <x v="0"/>
    <n v="2"/>
  </r>
  <r>
    <s v="Attendee 25"/>
    <d v="2024-07-02T00:00:00"/>
    <x v="1"/>
    <x v="1"/>
    <x v="1"/>
    <n v="2"/>
  </r>
  <r>
    <s v="Attendee 26"/>
    <d v="2024-07-02T00:00:00"/>
    <x v="1"/>
    <x v="0"/>
    <x v="0"/>
    <n v="2"/>
  </r>
  <r>
    <s v="Attendee 27"/>
    <d v="2024-07-02T00:00:00"/>
    <x v="1"/>
    <x v="0"/>
    <x v="0"/>
    <n v="4"/>
  </r>
  <r>
    <s v="Attendee 28"/>
    <d v="2024-07-02T00:00:00"/>
    <x v="1"/>
    <x v="1"/>
    <x v="1"/>
    <n v="0"/>
  </r>
  <r>
    <s v="Attendee 29"/>
    <d v="2024-07-02T00:00:00"/>
    <x v="1"/>
    <x v="1"/>
    <x v="1"/>
    <n v="3"/>
  </r>
  <r>
    <s v="Attendee 30"/>
    <d v="2024-07-02T00:00:00"/>
    <x v="1"/>
    <x v="0"/>
    <x v="0"/>
    <n v="4"/>
  </r>
  <r>
    <s v="Attendee 31"/>
    <d v="2024-07-02T00:00:00"/>
    <x v="1"/>
    <x v="1"/>
    <x v="1"/>
    <n v="2"/>
  </r>
  <r>
    <s v="Attendee 32"/>
    <d v="2024-07-02T00:00:00"/>
    <x v="1"/>
    <x v="1"/>
    <x v="1"/>
    <n v="2"/>
  </r>
  <r>
    <s v="Attendee 33"/>
    <d v="2024-07-02T00:00:00"/>
    <x v="1"/>
    <x v="0"/>
    <x v="0"/>
    <n v="5"/>
  </r>
  <r>
    <s v="Attendee 34"/>
    <d v="2024-07-02T00:00:00"/>
    <x v="1"/>
    <x v="1"/>
    <x v="1"/>
    <n v="2"/>
  </r>
  <r>
    <s v="Attendee 35"/>
    <d v="2024-07-02T00:00:00"/>
    <x v="1"/>
    <x v="0"/>
    <x v="0"/>
    <n v="3"/>
  </r>
  <r>
    <s v="Attendee 36"/>
    <d v="2024-07-02T00:00:00"/>
    <x v="1"/>
    <x v="0"/>
    <x v="0"/>
    <n v="3"/>
  </r>
  <r>
    <s v="Attendee 37"/>
    <d v="2024-07-02T00:00:00"/>
    <x v="1"/>
    <x v="0"/>
    <x v="0"/>
    <n v="4"/>
  </r>
  <r>
    <s v="Attendee 38"/>
    <d v="2024-07-02T00:00:00"/>
    <x v="1"/>
    <x v="0"/>
    <x v="0"/>
    <n v="3"/>
  </r>
  <r>
    <s v="Attendee 39"/>
    <d v="2024-07-02T00:00:00"/>
    <x v="1"/>
    <x v="0"/>
    <x v="0"/>
    <n v="4"/>
  </r>
  <r>
    <s v="Attendee 40"/>
    <d v="2024-07-02T00:00:00"/>
    <x v="1"/>
    <x v="1"/>
    <x v="1"/>
    <n v="1"/>
  </r>
  <r>
    <s v="Attendee 41"/>
    <d v="2024-07-02T00:00:00"/>
    <x v="1"/>
    <x v="1"/>
    <x v="1"/>
    <n v="4"/>
  </r>
  <r>
    <s v="Attendee 42"/>
    <d v="2024-07-02T00:00:00"/>
    <x v="1"/>
    <x v="1"/>
    <x v="1"/>
    <n v="1"/>
  </r>
  <r>
    <s v="Attendee 43"/>
    <d v="2024-07-02T00:00:00"/>
    <x v="1"/>
    <x v="0"/>
    <x v="0"/>
    <n v="2"/>
  </r>
  <r>
    <s v="Attendee 44"/>
    <d v="2024-07-02T00:00:00"/>
    <x v="1"/>
    <x v="0"/>
    <x v="0"/>
    <n v="2"/>
  </r>
  <r>
    <s v="Attendee 45"/>
    <d v="2024-07-02T00:00:00"/>
    <x v="1"/>
    <x v="1"/>
    <x v="1"/>
    <n v="3"/>
  </r>
  <r>
    <s v="Attendee 46"/>
    <d v="2024-07-02T00:00:00"/>
    <x v="1"/>
    <x v="0"/>
    <x v="0"/>
    <n v="2"/>
  </r>
  <r>
    <s v="Attendee 47"/>
    <d v="2024-07-02T00:00:00"/>
    <x v="1"/>
    <x v="0"/>
    <x v="0"/>
    <n v="4"/>
  </r>
  <r>
    <s v="Attendee 48"/>
    <d v="2024-07-02T00:00:00"/>
    <x v="1"/>
    <x v="1"/>
    <x v="1"/>
    <n v="0"/>
  </r>
  <r>
    <s v="Attendee 49"/>
    <d v="2024-07-02T00:00:00"/>
    <x v="1"/>
    <x v="1"/>
    <x v="1"/>
    <n v="2"/>
  </r>
  <r>
    <s v="Attendee 50"/>
    <d v="2024-07-02T00:00:00"/>
    <x v="1"/>
    <x v="1"/>
    <x v="1"/>
    <n v="1"/>
  </r>
  <r>
    <s v="Attendee 1"/>
    <d v="2024-07-03T00:00:00"/>
    <x v="2"/>
    <x v="1"/>
    <x v="1"/>
    <n v="2"/>
  </r>
  <r>
    <s v="Attendee 2"/>
    <d v="2024-07-03T00:00:00"/>
    <x v="2"/>
    <x v="0"/>
    <x v="0"/>
    <n v="3"/>
  </r>
  <r>
    <s v="Attendee 3"/>
    <d v="2024-07-03T00:00:00"/>
    <x v="2"/>
    <x v="0"/>
    <x v="0"/>
    <n v="2"/>
  </r>
  <r>
    <s v="Attendee 4"/>
    <d v="2024-07-03T00:00:00"/>
    <x v="2"/>
    <x v="0"/>
    <x v="0"/>
    <n v="2"/>
  </r>
  <r>
    <s v="Attendee 5"/>
    <d v="2024-07-03T00:00:00"/>
    <x v="2"/>
    <x v="0"/>
    <x v="0"/>
    <n v="3"/>
  </r>
  <r>
    <s v="Attendee 6"/>
    <d v="2024-07-03T00:00:00"/>
    <x v="2"/>
    <x v="0"/>
    <x v="0"/>
    <n v="3"/>
  </r>
  <r>
    <s v="Attendee 7"/>
    <d v="2024-07-03T00:00:00"/>
    <x v="2"/>
    <x v="0"/>
    <x v="0"/>
    <n v="4"/>
  </r>
  <r>
    <s v="Attendee 8"/>
    <d v="2024-07-03T00:00:00"/>
    <x v="2"/>
    <x v="0"/>
    <x v="0"/>
    <n v="3"/>
  </r>
  <r>
    <s v="Attendee 9"/>
    <d v="2024-07-03T00:00:00"/>
    <x v="2"/>
    <x v="0"/>
    <x v="0"/>
    <n v="4"/>
  </r>
  <r>
    <s v="Attendee 10"/>
    <d v="2024-07-03T00:00:00"/>
    <x v="2"/>
    <x v="0"/>
    <x v="0"/>
    <n v="2"/>
  </r>
  <r>
    <s v="Attendee 11"/>
    <d v="2024-07-03T00:00:00"/>
    <x v="2"/>
    <x v="0"/>
    <x v="0"/>
    <n v="3"/>
  </r>
  <r>
    <s v="Attendee 12"/>
    <d v="2024-07-03T00:00:00"/>
    <x v="2"/>
    <x v="1"/>
    <x v="1"/>
    <n v="0"/>
  </r>
  <r>
    <s v="Attendee 13"/>
    <d v="2024-07-03T00:00:00"/>
    <x v="2"/>
    <x v="1"/>
    <x v="1"/>
    <n v="3"/>
  </r>
  <r>
    <s v="Attendee 14"/>
    <d v="2024-07-03T00:00:00"/>
    <x v="2"/>
    <x v="1"/>
    <x v="1"/>
    <n v="3"/>
  </r>
  <r>
    <s v="Attendee 15"/>
    <d v="2024-07-03T00:00:00"/>
    <x v="2"/>
    <x v="1"/>
    <x v="1"/>
    <n v="3"/>
  </r>
  <r>
    <s v="Attendee 16"/>
    <d v="2024-07-03T00:00:00"/>
    <x v="2"/>
    <x v="1"/>
    <x v="1"/>
    <n v="2"/>
  </r>
  <r>
    <s v="Attendee 17"/>
    <d v="2024-07-03T00:00:00"/>
    <x v="2"/>
    <x v="0"/>
    <x v="0"/>
    <n v="3"/>
  </r>
  <r>
    <s v="Attendee 18"/>
    <d v="2024-07-03T00:00:00"/>
    <x v="2"/>
    <x v="0"/>
    <x v="0"/>
    <n v="3"/>
  </r>
  <r>
    <s v="Attendee 19"/>
    <d v="2024-07-03T00:00:00"/>
    <x v="2"/>
    <x v="0"/>
    <x v="0"/>
    <n v="3"/>
  </r>
  <r>
    <s v="Attendee 20"/>
    <d v="2024-07-03T00:00:00"/>
    <x v="2"/>
    <x v="1"/>
    <x v="1"/>
    <n v="2"/>
  </r>
  <r>
    <s v="Attendee 21"/>
    <d v="2024-07-03T00:00:00"/>
    <x v="2"/>
    <x v="0"/>
    <x v="0"/>
    <n v="3"/>
  </r>
  <r>
    <s v="Attendee 22"/>
    <d v="2024-07-03T00:00:00"/>
    <x v="2"/>
    <x v="1"/>
    <x v="1"/>
    <n v="1"/>
  </r>
  <r>
    <s v="Attendee 23"/>
    <d v="2024-07-03T00:00:00"/>
    <x v="2"/>
    <x v="1"/>
    <x v="1"/>
    <n v="3"/>
  </r>
  <r>
    <s v="Attendee 24"/>
    <d v="2024-07-03T00:00:00"/>
    <x v="2"/>
    <x v="0"/>
    <x v="0"/>
    <n v="2"/>
  </r>
  <r>
    <s v="Attendee 25"/>
    <d v="2024-07-03T00:00:00"/>
    <x v="2"/>
    <x v="1"/>
    <x v="1"/>
    <n v="2"/>
  </r>
  <r>
    <s v="Attendee 26"/>
    <d v="2024-07-03T00:00:00"/>
    <x v="2"/>
    <x v="1"/>
    <x v="1"/>
    <n v="2"/>
  </r>
  <r>
    <s v="Attendee 27"/>
    <d v="2024-07-03T00:00:00"/>
    <x v="2"/>
    <x v="1"/>
    <x v="1"/>
    <n v="4"/>
  </r>
  <r>
    <s v="Attendee 28"/>
    <d v="2024-07-03T00:00:00"/>
    <x v="2"/>
    <x v="1"/>
    <x v="1"/>
    <n v="0"/>
  </r>
  <r>
    <s v="Attendee 29"/>
    <d v="2024-07-03T00:00:00"/>
    <x v="2"/>
    <x v="1"/>
    <x v="1"/>
    <n v="3"/>
  </r>
  <r>
    <s v="Attendee 30"/>
    <d v="2024-07-03T00:00:00"/>
    <x v="2"/>
    <x v="0"/>
    <x v="0"/>
    <n v="4"/>
  </r>
  <r>
    <s v="Attendee 31"/>
    <d v="2024-07-03T00:00:00"/>
    <x v="2"/>
    <x v="1"/>
    <x v="1"/>
    <n v="2"/>
  </r>
  <r>
    <s v="Attendee 32"/>
    <d v="2024-07-03T00:00:00"/>
    <x v="2"/>
    <x v="1"/>
    <x v="1"/>
    <n v="2"/>
  </r>
  <r>
    <s v="Attendee 33"/>
    <d v="2024-07-03T00:00:00"/>
    <x v="2"/>
    <x v="0"/>
    <x v="0"/>
    <n v="5"/>
  </r>
  <r>
    <s v="Attendee 34"/>
    <d v="2024-07-03T00:00:00"/>
    <x v="2"/>
    <x v="0"/>
    <x v="0"/>
    <n v="2"/>
  </r>
  <r>
    <s v="Attendee 35"/>
    <d v="2024-07-03T00:00:00"/>
    <x v="2"/>
    <x v="1"/>
    <x v="1"/>
    <n v="3"/>
  </r>
  <r>
    <s v="Attendee 36"/>
    <d v="2024-07-03T00:00:00"/>
    <x v="2"/>
    <x v="0"/>
    <x v="0"/>
    <n v="3"/>
  </r>
  <r>
    <s v="Attendee 37"/>
    <d v="2024-07-03T00:00:00"/>
    <x v="2"/>
    <x v="0"/>
    <x v="0"/>
    <n v="4"/>
  </r>
  <r>
    <s v="Attendee 38"/>
    <d v="2024-07-03T00:00:00"/>
    <x v="2"/>
    <x v="1"/>
    <x v="1"/>
    <n v="3"/>
  </r>
  <r>
    <s v="Attendee 39"/>
    <d v="2024-07-03T00:00:00"/>
    <x v="2"/>
    <x v="0"/>
    <x v="0"/>
    <n v="4"/>
  </r>
  <r>
    <s v="Attendee 40"/>
    <d v="2024-07-03T00:00:00"/>
    <x v="2"/>
    <x v="1"/>
    <x v="1"/>
    <n v="1"/>
  </r>
  <r>
    <s v="Attendee 41"/>
    <d v="2024-07-03T00:00:00"/>
    <x v="2"/>
    <x v="0"/>
    <x v="0"/>
    <n v="4"/>
  </r>
  <r>
    <s v="Attendee 42"/>
    <d v="2024-07-03T00:00:00"/>
    <x v="2"/>
    <x v="1"/>
    <x v="1"/>
    <n v="1"/>
  </r>
  <r>
    <s v="Attendee 43"/>
    <d v="2024-07-03T00:00:00"/>
    <x v="2"/>
    <x v="1"/>
    <x v="1"/>
    <n v="2"/>
  </r>
  <r>
    <s v="Attendee 44"/>
    <d v="2024-07-03T00:00:00"/>
    <x v="2"/>
    <x v="1"/>
    <x v="1"/>
    <n v="2"/>
  </r>
  <r>
    <s v="Attendee 45"/>
    <d v="2024-07-03T00:00:00"/>
    <x v="2"/>
    <x v="1"/>
    <x v="1"/>
    <n v="3"/>
  </r>
  <r>
    <s v="Attendee 46"/>
    <d v="2024-07-03T00:00:00"/>
    <x v="2"/>
    <x v="0"/>
    <x v="0"/>
    <n v="2"/>
  </r>
  <r>
    <s v="Attendee 47"/>
    <d v="2024-07-03T00:00:00"/>
    <x v="2"/>
    <x v="0"/>
    <x v="0"/>
    <n v="4"/>
  </r>
  <r>
    <s v="Attendee 48"/>
    <d v="2024-07-03T00:00:00"/>
    <x v="2"/>
    <x v="1"/>
    <x v="1"/>
    <n v="0"/>
  </r>
  <r>
    <s v="Attendee 49"/>
    <d v="2024-07-03T00:00:00"/>
    <x v="2"/>
    <x v="1"/>
    <x v="1"/>
    <n v="2"/>
  </r>
  <r>
    <s v="Attendee 50"/>
    <d v="2024-07-03T00:00:00"/>
    <x v="2"/>
    <x v="1"/>
    <x v="1"/>
    <n v="1"/>
  </r>
  <r>
    <s v="Attendee 1"/>
    <d v="2024-07-04T00:00:00"/>
    <x v="3"/>
    <x v="0"/>
    <x v="0"/>
    <n v="2"/>
  </r>
  <r>
    <s v="Attendee 2"/>
    <d v="2024-07-04T00:00:00"/>
    <x v="3"/>
    <x v="0"/>
    <x v="0"/>
    <n v="3"/>
  </r>
  <r>
    <s v="Attendee 3"/>
    <d v="2024-07-04T00:00:00"/>
    <x v="3"/>
    <x v="1"/>
    <x v="1"/>
    <n v="2"/>
  </r>
  <r>
    <s v="Attendee 4"/>
    <d v="2024-07-04T00:00:00"/>
    <x v="3"/>
    <x v="0"/>
    <x v="0"/>
    <n v="2"/>
  </r>
  <r>
    <s v="Attendee 5"/>
    <d v="2024-07-04T00:00:00"/>
    <x v="3"/>
    <x v="0"/>
    <x v="0"/>
    <n v="3"/>
  </r>
  <r>
    <s v="Attendee 6"/>
    <d v="2024-07-04T00:00:00"/>
    <x v="3"/>
    <x v="0"/>
    <x v="0"/>
    <n v="3"/>
  </r>
  <r>
    <s v="Attendee 7"/>
    <d v="2024-07-04T00:00:00"/>
    <x v="3"/>
    <x v="0"/>
    <x v="0"/>
    <n v="4"/>
  </r>
  <r>
    <s v="Attendee 8"/>
    <d v="2024-07-04T00:00:00"/>
    <x v="3"/>
    <x v="0"/>
    <x v="0"/>
    <n v="3"/>
  </r>
  <r>
    <s v="Attendee 9"/>
    <d v="2024-07-04T00:00:00"/>
    <x v="3"/>
    <x v="0"/>
    <x v="0"/>
    <n v="4"/>
  </r>
  <r>
    <s v="Attendee 10"/>
    <d v="2024-07-04T00:00:00"/>
    <x v="3"/>
    <x v="1"/>
    <x v="1"/>
    <n v="2"/>
  </r>
  <r>
    <s v="Attendee 11"/>
    <d v="2024-07-04T00:00:00"/>
    <x v="3"/>
    <x v="0"/>
    <x v="0"/>
    <n v="3"/>
  </r>
  <r>
    <s v="Attendee 12"/>
    <d v="2024-07-04T00:00:00"/>
    <x v="3"/>
    <x v="1"/>
    <x v="1"/>
    <n v="0"/>
  </r>
  <r>
    <s v="Attendee 13"/>
    <d v="2024-07-04T00:00:00"/>
    <x v="3"/>
    <x v="1"/>
    <x v="1"/>
    <n v="3"/>
  </r>
  <r>
    <s v="Attendee 14"/>
    <d v="2024-07-04T00:00:00"/>
    <x v="3"/>
    <x v="0"/>
    <x v="0"/>
    <n v="3"/>
  </r>
  <r>
    <s v="Attendee 15"/>
    <d v="2024-07-04T00:00:00"/>
    <x v="3"/>
    <x v="0"/>
    <x v="0"/>
    <n v="3"/>
  </r>
  <r>
    <s v="Attendee 16"/>
    <d v="2024-07-04T00:00:00"/>
    <x v="3"/>
    <x v="0"/>
    <x v="0"/>
    <n v="2"/>
  </r>
  <r>
    <s v="Attendee 17"/>
    <d v="2024-07-04T00:00:00"/>
    <x v="3"/>
    <x v="1"/>
    <x v="1"/>
    <n v="3"/>
  </r>
  <r>
    <s v="Attendee 18"/>
    <d v="2024-07-04T00:00:00"/>
    <x v="3"/>
    <x v="1"/>
    <x v="1"/>
    <n v="3"/>
  </r>
  <r>
    <s v="Attendee 19"/>
    <d v="2024-07-04T00:00:00"/>
    <x v="3"/>
    <x v="1"/>
    <x v="1"/>
    <n v="3"/>
  </r>
  <r>
    <s v="Attendee 20"/>
    <d v="2024-07-04T00:00:00"/>
    <x v="3"/>
    <x v="0"/>
    <x v="0"/>
    <n v="2"/>
  </r>
  <r>
    <s v="Attendee 21"/>
    <d v="2024-07-04T00:00:00"/>
    <x v="3"/>
    <x v="1"/>
    <x v="1"/>
    <n v="3"/>
  </r>
  <r>
    <s v="Attendee 22"/>
    <d v="2024-07-04T00:00:00"/>
    <x v="3"/>
    <x v="1"/>
    <x v="1"/>
    <n v="1"/>
  </r>
  <r>
    <s v="Attendee 23"/>
    <d v="2024-07-04T00:00:00"/>
    <x v="3"/>
    <x v="0"/>
    <x v="0"/>
    <n v="3"/>
  </r>
  <r>
    <s v="Attendee 24"/>
    <d v="2024-07-04T00:00:00"/>
    <x v="3"/>
    <x v="1"/>
    <x v="1"/>
    <n v="2"/>
  </r>
  <r>
    <s v="Attendee 25"/>
    <d v="2024-07-04T00:00:00"/>
    <x v="3"/>
    <x v="0"/>
    <x v="0"/>
    <n v="2"/>
  </r>
  <r>
    <s v="Attendee 26"/>
    <d v="2024-07-04T00:00:00"/>
    <x v="3"/>
    <x v="1"/>
    <x v="1"/>
    <n v="2"/>
  </r>
  <r>
    <s v="Attendee 27"/>
    <d v="2024-07-04T00:00:00"/>
    <x v="3"/>
    <x v="0"/>
    <x v="0"/>
    <n v="4"/>
  </r>
  <r>
    <s v="Attendee 28"/>
    <d v="2024-07-04T00:00:00"/>
    <x v="3"/>
    <x v="1"/>
    <x v="1"/>
    <n v="0"/>
  </r>
  <r>
    <s v="Attendee 29"/>
    <d v="2024-07-04T00:00:00"/>
    <x v="3"/>
    <x v="0"/>
    <x v="0"/>
    <n v="3"/>
  </r>
  <r>
    <s v="Attendee 30"/>
    <d v="2024-07-04T00:00:00"/>
    <x v="3"/>
    <x v="0"/>
    <x v="0"/>
    <n v="4"/>
  </r>
  <r>
    <s v="Attendee 31"/>
    <d v="2024-07-04T00:00:00"/>
    <x v="3"/>
    <x v="0"/>
    <x v="0"/>
    <n v="2"/>
  </r>
  <r>
    <s v="Attendee 32"/>
    <d v="2024-07-04T00:00:00"/>
    <x v="3"/>
    <x v="0"/>
    <x v="0"/>
    <n v="2"/>
  </r>
  <r>
    <s v="Attendee 33"/>
    <d v="2024-07-04T00:00:00"/>
    <x v="3"/>
    <x v="0"/>
    <x v="0"/>
    <n v="5"/>
  </r>
  <r>
    <s v="Attendee 34"/>
    <d v="2024-07-04T00:00:00"/>
    <x v="3"/>
    <x v="0"/>
    <x v="0"/>
    <n v="2"/>
  </r>
  <r>
    <s v="Attendee 35"/>
    <d v="2024-07-04T00:00:00"/>
    <x v="3"/>
    <x v="1"/>
    <x v="1"/>
    <n v="3"/>
  </r>
  <r>
    <s v="Attendee 36"/>
    <d v="2024-07-04T00:00:00"/>
    <x v="3"/>
    <x v="0"/>
    <x v="0"/>
    <n v="3"/>
  </r>
  <r>
    <s v="Attendee 37"/>
    <d v="2024-07-04T00:00:00"/>
    <x v="3"/>
    <x v="1"/>
    <x v="1"/>
    <n v="4"/>
  </r>
  <r>
    <s v="Attendee 38"/>
    <d v="2024-07-04T00:00:00"/>
    <x v="3"/>
    <x v="0"/>
    <x v="0"/>
    <n v="3"/>
  </r>
  <r>
    <s v="Attendee 39"/>
    <d v="2024-07-04T00:00:00"/>
    <x v="3"/>
    <x v="1"/>
    <x v="1"/>
    <n v="4"/>
  </r>
  <r>
    <s v="Attendee 40"/>
    <d v="2024-07-04T00:00:00"/>
    <x v="3"/>
    <x v="0"/>
    <x v="0"/>
    <n v="1"/>
  </r>
  <r>
    <s v="Attendee 41"/>
    <d v="2024-07-04T00:00:00"/>
    <x v="3"/>
    <x v="0"/>
    <x v="0"/>
    <n v="4"/>
  </r>
  <r>
    <s v="Attendee 42"/>
    <d v="2024-07-04T00:00:00"/>
    <x v="3"/>
    <x v="0"/>
    <x v="0"/>
    <n v="1"/>
  </r>
  <r>
    <s v="Attendee 43"/>
    <d v="2024-07-04T00:00:00"/>
    <x v="3"/>
    <x v="1"/>
    <x v="1"/>
    <n v="2"/>
  </r>
  <r>
    <s v="Attendee 44"/>
    <d v="2024-07-04T00:00:00"/>
    <x v="3"/>
    <x v="0"/>
    <x v="0"/>
    <n v="2"/>
  </r>
  <r>
    <s v="Attendee 45"/>
    <d v="2024-07-04T00:00:00"/>
    <x v="3"/>
    <x v="0"/>
    <x v="0"/>
    <n v="3"/>
  </r>
  <r>
    <s v="Attendee 46"/>
    <d v="2024-07-04T00:00:00"/>
    <x v="3"/>
    <x v="1"/>
    <x v="1"/>
    <n v="2"/>
  </r>
  <r>
    <s v="Attendee 47"/>
    <d v="2024-07-04T00:00:00"/>
    <x v="3"/>
    <x v="1"/>
    <x v="1"/>
    <n v="4"/>
  </r>
  <r>
    <s v="Attendee 48"/>
    <d v="2024-07-04T00:00:00"/>
    <x v="3"/>
    <x v="1"/>
    <x v="1"/>
    <n v="0"/>
  </r>
  <r>
    <s v="Attendee 49"/>
    <d v="2024-07-04T00:00:00"/>
    <x v="3"/>
    <x v="1"/>
    <x v="1"/>
    <n v="2"/>
  </r>
  <r>
    <s v="Attendee 50"/>
    <d v="2024-07-04T00:00:00"/>
    <x v="3"/>
    <x v="0"/>
    <x v="0"/>
    <n v="1"/>
  </r>
  <r>
    <s v="Attendee 1"/>
    <d v="2024-07-05T00:00:00"/>
    <x v="4"/>
    <x v="1"/>
    <x v="1"/>
    <n v="2"/>
  </r>
  <r>
    <s v="Attendee 2"/>
    <d v="2024-07-05T00:00:00"/>
    <x v="4"/>
    <x v="1"/>
    <x v="1"/>
    <n v="3"/>
  </r>
  <r>
    <s v="Attendee 3"/>
    <d v="2024-07-05T00:00:00"/>
    <x v="4"/>
    <x v="1"/>
    <x v="1"/>
    <n v="2"/>
  </r>
  <r>
    <s v="Attendee 4"/>
    <d v="2024-07-05T00:00:00"/>
    <x v="4"/>
    <x v="1"/>
    <x v="1"/>
    <n v="2"/>
  </r>
  <r>
    <s v="Attendee 5"/>
    <d v="2024-07-05T00:00:00"/>
    <x v="4"/>
    <x v="1"/>
    <x v="1"/>
    <n v="3"/>
  </r>
  <r>
    <s v="Attendee 6"/>
    <d v="2024-07-05T00:00:00"/>
    <x v="4"/>
    <x v="0"/>
    <x v="0"/>
    <n v="3"/>
  </r>
  <r>
    <s v="Attendee 7"/>
    <d v="2024-07-05T00:00:00"/>
    <x v="4"/>
    <x v="0"/>
    <x v="0"/>
    <n v="4"/>
  </r>
  <r>
    <s v="Attendee 8"/>
    <d v="2024-07-05T00:00:00"/>
    <x v="4"/>
    <x v="1"/>
    <x v="1"/>
    <n v="3"/>
  </r>
  <r>
    <s v="Attendee 9"/>
    <d v="2024-07-05T00:00:00"/>
    <x v="4"/>
    <x v="1"/>
    <x v="1"/>
    <n v="4"/>
  </r>
  <r>
    <s v="Attendee 10"/>
    <d v="2024-07-05T00:00:00"/>
    <x v="4"/>
    <x v="1"/>
    <x v="1"/>
    <n v="2"/>
  </r>
  <r>
    <s v="Attendee 11"/>
    <d v="2024-07-05T00:00:00"/>
    <x v="4"/>
    <x v="1"/>
    <x v="1"/>
    <n v="3"/>
  </r>
  <r>
    <s v="Attendee 12"/>
    <d v="2024-07-05T00:00:00"/>
    <x v="4"/>
    <x v="1"/>
    <x v="1"/>
    <n v="0"/>
  </r>
  <r>
    <s v="Attendee 13"/>
    <d v="2024-07-05T00:00:00"/>
    <x v="4"/>
    <x v="0"/>
    <x v="0"/>
    <n v="3"/>
  </r>
  <r>
    <s v="Attendee 14"/>
    <d v="2024-07-05T00:00:00"/>
    <x v="4"/>
    <x v="0"/>
    <x v="0"/>
    <n v="3"/>
  </r>
  <r>
    <s v="Attendee 15"/>
    <d v="2024-07-05T00:00:00"/>
    <x v="4"/>
    <x v="1"/>
    <x v="1"/>
    <n v="3"/>
  </r>
  <r>
    <s v="Attendee 16"/>
    <d v="2024-07-05T00:00:00"/>
    <x v="4"/>
    <x v="0"/>
    <x v="0"/>
    <n v="2"/>
  </r>
  <r>
    <s v="Attendee 17"/>
    <d v="2024-07-05T00:00:00"/>
    <x v="4"/>
    <x v="0"/>
    <x v="0"/>
    <n v="3"/>
  </r>
  <r>
    <s v="Attendee 18"/>
    <d v="2024-07-05T00:00:00"/>
    <x v="4"/>
    <x v="0"/>
    <x v="0"/>
    <n v="3"/>
  </r>
  <r>
    <s v="Attendee 19"/>
    <d v="2024-07-05T00:00:00"/>
    <x v="4"/>
    <x v="1"/>
    <x v="1"/>
    <n v="3"/>
  </r>
  <r>
    <s v="Attendee 20"/>
    <d v="2024-07-05T00:00:00"/>
    <x v="4"/>
    <x v="0"/>
    <x v="0"/>
    <n v="2"/>
  </r>
  <r>
    <s v="Attendee 21"/>
    <d v="2024-07-05T00:00:00"/>
    <x v="4"/>
    <x v="0"/>
    <x v="0"/>
    <n v="3"/>
  </r>
  <r>
    <s v="Attendee 22"/>
    <d v="2024-07-05T00:00:00"/>
    <x v="4"/>
    <x v="1"/>
    <x v="1"/>
    <n v="1"/>
  </r>
  <r>
    <s v="Attendee 23"/>
    <d v="2024-07-05T00:00:00"/>
    <x v="4"/>
    <x v="1"/>
    <x v="1"/>
    <n v="3"/>
  </r>
  <r>
    <s v="Attendee 24"/>
    <d v="2024-07-05T00:00:00"/>
    <x v="4"/>
    <x v="1"/>
    <x v="1"/>
    <n v="2"/>
  </r>
  <r>
    <s v="Attendee 25"/>
    <d v="2024-07-05T00:00:00"/>
    <x v="4"/>
    <x v="1"/>
    <x v="1"/>
    <n v="2"/>
  </r>
  <r>
    <s v="Attendee 26"/>
    <d v="2024-07-05T00:00:00"/>
    <x v="4"/>
    <x v="0"/>
    <x v="0"/>
    <n v="2"/>
  </r>
  <r>
    <s v="Attendee 27"/>
    <d v="2024-07-05T00:00:00"/>
    <x v="4"/>
    <x v="0"/>
    <x v="0"/>
    <n v="4"/>
  </r>
  <r>
    <s v="Attendee 28"/>
    <d v="2024-07-05T00:00:00"/>
    <x v="4"/>
    <x v="1"/>
    <x v="1"/>
    <n v="0"/>
  </r>
  <r>
    <s v="Attendee 29"/>
    <d v="2024-07-05T00:00:00"/>
    <x v="4"/>
    <x v="0"/>
    <x v="0"/>
    <n v="3"/>
  </r>
  <r>
    <s v="Attendee 30"/>
    <d v="2024-07-05T00:00:00"/>
    <x v="4"/>
    <x v="0"/>
    <x v="0"/>
    <n v="4"/>
  </r>
  <r>
    <s v="Attendee 31"/>
    <d v="2024-07-05T00:00:00"/>
    <x v="4"/>
    <x v="1"/>
    <x v="1"/>
    <n v="2"/>
  </r>
  <r>
    <s v="Attendee 32"/>
    <d v="2024-07-05T00:00:00"/>
    <x v="4"/>
    <x v="0"/>
    <x v="0"/>
    <n v="2"/>
  </r>
  <r>
    <s v="Attendee 33"/>
    <d v="2024-07-05T00:00:00"/>
    <x v="4"/>
    <x v="0"/>
    <x v="0"/>
    <n v="5"/>
  </r>
  <r>
    <s v="Attendee 34"/>
    <d v="2024-07-05T00:00:00"/>
    <x v="4"/>
    <x v="1"/>
    <x v="1"/>
    <n v="2"/>
  </r>
  <r>
    <s v="Attendee 35"/>
    <d v="2024-07-05T00:00:00"/>
    <x v="4"/>
    <x v="0"/>
    <x v="0"/>
    <n v="3"/>
  </r>
  <r>
    <s v="Attendee 36"/>
    <d v="2024-07-05T00:00:00"/>
    <x v="4"/>
    <x v="1"/>
    <x v="1"/>
    <n v="3"/>
  </r>
  <r>
    <s v="Attendee 37"/>
    <d v="2024-07-05T00:00:00"/>
    <x v="4"/>
    <x v="0"/>
    <x v="0"/>
    <n v="4"/>
  </r>
  <r>
    <s v="Attendee 38"/>
    <d v="2024-07-05T00:00:00"/>
    <x v="4"/>
    <x v="0"/>
    <x v="0"/>
    <n v="3"/>
  </r>
  <r>
    <s v="Attendee 39"/>
    <d v="2024-07-05T00:00:00"/>
    <x v="4"/>
    <x v="0"/>
    <x v="0"/>
    <n v="4"/>
  </r>
  <r>
    <s v="Attendee 40"/>
    <d v="2024-07-05T00:00:00"/>
    <x v="4"/>
    <x v="1"/>
    <x v="1"/>
    <n v="1"/>
  </r>
  <r>
    <s v="Attendee 41"/>
    <d v="2024-07-05T00:00:00"/>
    <x v="4"/>
    <x v="0"/>
    <x v="0"/>
    <n v="4"/>
  </r>
  <r>
    <s v="Attendee 42"/>
    <d v="2024-07-05T00:00:00"/>
    <x v="4"/>
    <x v="1"/>
    <x v="1"/>
    <n v="1"/>
  </r>
  <r>
    <s v="Attendee 43"/>
    <d v="2024-07-05T00:00:00"/>
    <x v="4"/>
    <x v="1"/>
    <x v="1"/>
    <n v="2"/>
  </r>
  <r>
    <s v="Attendee 44"/>
    <d v="2024-07-05T00:00:00"/>
    <x v="4"/>
    <x v="1"/>
    <x v="1"/>
    <n v="2"/>
  </r>
  <r>
    <s v="Attendee 45"/>
    <d v="2024-07-05T00:00:00"/>
    <x v="4"/>
    <x v="0"/>
    <x v="0"/>
    <n v="3"/>
  </r>
  <r>
    <s v="Attendee 46"/>
    <d v="2024-07-05T00:00:00"/>
    <x v="4"/>
    <x v="1"/>
    <x v="1"/>
    <n v="2"/>
  </r>
  <r>
    <s v="Attendee 47"/>
    <d v="2024-07-05T00:00:00"/>
    <x v="4"/>
    <x v="0"/>
    <x v="0"/>
    <n v="4"/>
  </r>
  <r>
    <s v="Attendee 48"/>
    <d v="2024-07-05T00:00:00"/>
    <x v="4"/>
    <x v="1"/>
    <x v="1"/>
    <n v="0"/>
  </r>
  <r>
    <s v="Attendee 49"/>
    <d v="2024-07-05T00:00:00"/>
    <x v="4"/>
    <x v="0"/>
    <x v="0"/>
    <n v="2"/>
  </r>
  <r>
    <s v="Attendee 50"/>
    <d v="2024-07-05T00:00:00"/>
    <x v="4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45474"/>
    <s v="attendee1@company.com"/>
    <x v="0"/>
    <n v="5"/>
    <x v="0"/>
    <x v="0"/>
    <x v="0"/>
    <x v="0"/>
  </r>
  <r>
    <x v="1"/>
    <n v="45474"/>
    <s v="attendee2@company.com"/>
    <x v="1"/>
    <n v="5"/>
    <x v="1"/>
    <x v="1"/>
    <x v="0"/>
    <x v="0"/>
  </r>
  <r>
    <x v="2"/>
    <n v="45474"/>
    <s v="attendee3@company.com"/>
    <x v="2"/>
    <n v="5"/>
    <x v="0"/>
    <x v="0"/>
    <x v="0"/>
    <x v="0"/>
  </r>
  <r>
    <x v="3"/>
    <n v="45474"/>
    <s v="attendee4@company.com"/>
    <x v="3"/>
    <n v="5"/>
    <x v="0"/>
    <x v="0"/>
    <x v="1"/>
    <x v="1"/>
  </r>
  <r>
    <x v="4"/>
    <n v="45474"/>
    <s v="attendee5@company.com"/>
    <x v="4"/>
    <n v="5"/>
    <x v="1"/>
    <x v="1"/>
    <x v="1"/>
    <x v="1"/>
  </r>
  <r>
    <x v="5"/>
    <n v="45474"/>
    <s v="attendee6@company.com"/>
    <x v="0"/>
    <n v="5"/>
    <x v="1"/>
    <x v="1"/>
    <x v="0"/>
    <x v="0"/>
  </r>
  <r>
    <x v="6"/>
    <n v="45474"/>
    <s v="attendee7@company.com"/>
    <x v="1"/>
    <n v="5"/>
    <x v="2"/>
    <x v="2"/>
    <x v="0"/>
    <x v="1"/>
  </r>
  <r>
    <x v="7"/>
    <n v="45474"/>
    <s v="attendee8@company.com"/>
    <x v="2"/>
    <n v="5"/>
    <x v="1"/>
    <x v="1"/>
    <x v="0"/>
    <x v="0"/>
  </r>
  <r>
    <x v="8"/>
    <n v="45474"/>
    <s v="attendee9@company.com"/>
    <x v="3"/>
    <n v="5"/>
    <x v="2"/>
    <x v="2"/>
    <x v="1"/>
    <x v="1"/>
  </r>
  <r>
    <x v="9"/>
    <n v="45474"/>
    <s v="attendee10@company.com"/>
    <x v="4"/>
    <n v="5"/>
    <x v="0"/>
    <x v="0"/>
    <x v="1"/>
    <x v="1"/>
  </r>
  <r>
    <x v="10"/>
    <n v="45474"/>
    <s v="attendee11@company.com"/>
    <x v="0"/>
    <n v="5"/>
    <x v="1"/>
    <x v="1"/>
    <x v="0"/>
    <x v="0"/>
  </r>
  <r>
    <x v="11"/>
    <n v="45474"/>
    <s v="attendee12@company.com"/>
    <x v="1"/>
    <n v="5"/>
    <x v="3"/>
    <x v="3"/>
    <x v="0"/>
    <x v="0"/>
  </r>
  <r>
    <x v="12"/>
    <n v="45474"/>
    <s v="attendee13@company.com"/>
    <x v="2"/>
    <n v="5"/>
    <x v="1"/>
    <x v="1"/>
    <x v="0"/>
    <x v="0"/>
  </r>
  <r>
    <x v="13"/>
    <n v="45474"/>
    <s v="attendee14@company.com"/>
    <x v="3"/>
    <n v="5"/>
    <x v="1"/>
    <x v="1"/>
    <x v="1"/>
    <x v="1"/>
  </r>
  <r>
    <x v="14"/>
    <n v="45474"/>
    <s v="attendee15@company.com"/>
    <x v="4"/>
    <n v="5"/>
    <x v="1"/>
    <x v="1"/>
    <x v="1"/>
    <x v="1"/>
  </r>
  <r>
    <x v="15"/>
    <n v="45474"/>
    <s v="attendee16@company.com"/>
    <x v="0"/>
    <n v="5"/>
    <x v="0"/>
    <x v="0"/>
    <x v="0"/>
    <x v="0"/>
  </r>
  <r>
    <x v="16"/>
    <n v="45474"/>
    <s v="attendee17@company.com"/>
    <x v="1"/>
    <n v="5"/>
    <x v="1"/>
    <x v="1"/>
    <x v="0"/>
    <x v="0"/>
  </r>
  <r>
    <x v="17"/>
    <n v="45474"/>
    <s v="attendee18@company.com"/>
    <x v="2"/>
    <n v="5"/>
    <x v="1"/>
    <x v="1"/>
    <x v="0"/>
    <x v="0"/>
  </r>
  <r>
    <x v="18"/>
    <n v="45474"/>
    <s v="attendee19@company.com"/>
    <x v="3"/>
    <n v="5"/>
    <x v="1"/>
    <x v="1"/>
    <x v="1"/>
    <x v="1"/>
  </r>
  <r>
    <x v="19"/>
    <n v="45474"/>
    <s v="attendee20@company.com"/>
    <x v="4"/>
    <n v="5"/>
    <x v="0"/>
    <x v="0"/>
    <x v="1"/>
    <x v="1"/>
  </r>
  <r>
    <x v="20"/>
    <n v="45474"/>
    <s v="attendee21@company.com"/>
    <x v="0"/>
    <n v="5"/>
    <x v="1"/>
    <x v="1"/>
    <x v="0"/>
    <x v="0"/>
  </r>
  <r>
    <x v="21"/>
    <n v="45474"/>
    <s v="attendee22@company.com"/>
    <x v="1"/>
    <n v="5"/>
    <x v="4"/>
    <x v="4"/>
    <x v="0"/>
    <x v="0"/>
  </r>
  <r>
    <x v="22"/>
    <n v="45474"/>
    <s v="attendee23@company.com"/>
    <x v="2"/>
    <n v="5"/>
    <x v="1"/>
    <x v="1"/>
    <x v="0"/>
    <x v="0"/>
  </r>
  <r>
    <x v="23"/>
    <n v="45474"/>
    <s v="attendee24@company.com"/>
    <x v="3"/>
    <n v="5"/>
    <x v="0"/>
    <x v="0"/>
    <x v="1"/>
    <x v="1"/>
  </r>
  <r>
    <x v="24"/>
    <n v="45474"/>
    <s v="attendee25@company.com"/>
    <x v="4"/>
    <n v="5"/>
    <x v="0"/>
    <x v="0"/>
    <x v="1"/>
    <x v="1"/>
  </r>
  <r>
    <x v="25"/>
    <n v="45474"/>
    <s v="attendee26@company.com"/>
    <x v="0"/>
    <n v="5"/>
    <x v="0"/>
    <x v="0"/>
    <x v="0"/>
    <x v="0"/>
  </r>
  <r>
    <x v="26"/>
    <n v="45474"/>
    <s v="attendee27@company.com"/>
    <x v="1"/>
    <n v="5"/>
    <x v="2"/>
    <x v="2"/>
    <x v="0"/>
    <x v="1"/>
  </r>
  <r>
    <x v="27"/>
    <n v="45474"/>
    <s v="attendee28@company.com"/>
    <x v="2"/>
    <n v="5"/>
    <x v="3"/>
    <x v="3"/>
    <x v="0"/>
    <x v="0"/>
  </r>
  <r>
    <x v="28"/>
    <n v="45474"/>
    <s v="attendee29@company.com"/>
    <x v="3"/>
    <n v="5"/>
    <x v="1"/>
    <x v="1"/>
    <x v="1"/>
    <x v="1"/>
  </r>
  <r>
    <x v="29"/>
    <n v="45474"/>
    <s v="attendee30@company.com"/>
    <x v="4"/>
    <n v="5"/>
    <x v="2"/>
    <x v="2"/>
    <x v="1"/>
    <x v="1"/>
  </r>
  <r>
    <x v="30"/>
    <n v="45474"/>
    <s v="attendee31@company.com"/>
    <x v="0"/>
    <n v="5"/>
    <x v="0"/>
    <x v="0"/>
    <x v="0"/>
    <x v="0"/>
  </r>
  <r>
    <x v="31"/>
    <n v="45474"/>
    <s v="attendee32@company.com"/>
    <x v="1"/>
    <n v="5"/>
    <x v="0"/>
    <x v="0"/>
    <x v="0"/>
    <x v="0"/>
  </r>
  <r>
    <x v="32"/>
    <n v="45474"/>
    <s v="attendee33@company.com"/>
    <x v="2"/>
    <n v="5"/>
    <x v="5"/>
    <x v="5"/>
    <x v="0"/>
    <x v="1"/>
  </r>
  <r>
    <x v="33"/>
    <n v="45474"/>
    <s v="attendee34@company.com"/>
    <x v="3"/>
    <n v="5"/>
    <x v="0"/>
    <x v="0"/>
    <x v="1"/>
    <x v="1"/>
  </r>
  <r>
    <x v="34"/>
    <n v="45474"/>
    <s v="attendee35@company.com"/>
    <x v="4"/>
    <n v="5"/>
    <x v="1"/>
    <x v="1"/>
    <x v="1"/>
    <x v="1"/>
  </r>
  <r>
    <x v="35"/>
    <n v="45474"/>
    <s v="attendee36@company.com"/>
    <x v="0"/>
    <n v="5"/>
    <x v="1"/>
    <x v="1"/>
    <x v="0"/>
    <x v="0"/>
  </r>
  <r>
    <x v="36"/>
    <n v="45474"/>
    <s v="attendee37@company.com"/>
    <x v="1"/>
    <n v="5"/>
    <x v="2"/>
    <x v="2"/>
    <x v="0"/>
    <x v="1"/>
  </r>
  <r>
    <x v="37"/>
    <n v="45474"/>
    <s v="attendee38@company.com"/>
    <x v="2"/>
    <n v="5"/>
    <x v="1"/>
    <x v="1"/>
    <x v="0"/>
    <x v="0"/>
  </r>
  <r>
    <x v="38"/>
    <n v="45474"/>
    <s v="attendee39@company.com"/>
    <x v="3"/>
    <n v="5"/>
    <x v="2"/>
    <x v="2"/>
    <x v="1"/>
    <x v="1"/>
  </r>
  <r>
    <x v="39"/>
    <n v="45474"/>
    <s v="attendee40@company.com"/>
    <x v="4"/>
    <n v="5"/>
    <x v="4"/>
    <x v="4"/>
    <x v="1"/>
    <x v="0"/>
  </r>
  <r>
    <x v="40"/>
    <n v="45474"/>
    <s v="attendee41@company.com"/>
    <x v="0"/>
    <n v="5"/>
    <x v="2"/>
    <x v="2"/>
    <x v="0"/>
    <x v="1"/>
  </r>
  <r>
    <x v="41"/>
    <n v="45474"/>
    <s v="attendee42@company.com"/>
    <x v="1"/>
    <n v="5"/>
    <x v="4"/>
    <x v="4"/>
    <x v="0"/>
    <x v="0"/>
  </r>
  <r>
    <x v="42"/>
    <n v="45474"/>
    <s v="attendee43@company.com"/>
    <x v="2"/>
    <n v="5"/>
    <x v="0"/>
    <x v="0"/>
    <x v="0"/>
    <x v="0"/>
  </r>
  <r>
    <x v="43"/>
    <n v="45474"/>
    <s v="attendee44@company.com"/>
    <x v="3"/>
    <n v="5"/>
    <x v="0"/>
    <x v="0"/>
    <x v="1"/>
    <x v="1"/>
  </r>
  <r>
    <x v="44"/>
    <n v="45474"/>
    <s v="attendee45@company.com"/>
    <x v="4"/>
    <n v="5"/>
    <x v="1"/>
    <x v="1"/>
    <x v="1"/>
    <x v="1"/>
  </r>
  <r>
    <x v="45"/>
    <n v="45474"/>
    <s v="attendee46@company.com"/>
    <x v="0"/>
    <n v="5"/>
    <x v="0"/>
    <x v="0"/>
    <x v="0"/>
    <x v="0"/>
  </r>
  <r>
    <x v="46"/>
    <n v="45474"/>
    <s v="attendee47@company.com"/>
    <x v="1"/>
    <n v="5"/>
    <x v="2"/>
    <x v="2"/>
    <x v="0"/>
    <x v="1"/>
  </r>
  <r>
    <x v="47"/>
    <n v="45474"/>
    <s v="attendee48@company.com"/>
    <x v="2"/>
    <n v="5"/>
    <x v="3"/>
    <x v="3"/>
    <x v="0"/>
    <x v="0"/>
  </r>
  <r>
    <x v="48"/>
    <n v="45474"/>
    <s v="attendee49@company.com"/>
    <x v="3"/>
    <n v="5"/>
    <x v="0"/>
    <x v="0"/>
    <x v="1"/>
    <x v="1"/>
  </r>
  <r>
    <x v="49"/>
    <n v="45474"/>
    <s v="attendee50@company.com"/>
    <x v="4"/>
    <n v="5"/>
    <x v="4"/>
    <x v="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8E7A6-DB40-4464-B447-46C27268116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 fieldListSortAscending="1">
  <location ref="A1:B7" firstHeaderRow="1" firstDataRow="1" firstDataCol="1"/>
  <pivotFields count="9">
    <pivotField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showAll="0"/>
    <pivotField showAll="0"/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ttendance Percentage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61AA9-4B27-47ED-BDC3-DE1826113FC7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mployees">
  <location ref="D5:D30" firstHeaderRow="1" firstDataRow="1" firstDataCol="1" rowPageCount="3" colPageCount="1"/>
  <pivotFields count="9">
    <pivotField axis="axisRow"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name="No. of Days Present" axis="axisPage" multipleItemSelectionAllowed="1" showAll="0">
      <items count="7">
        <item x="3"/>
        <item x="4"/>
        <item x="0"/>
        <item x="1"/>
        <item x="2"/>
        <item x="5"/>
        <item t="default"/>
      </items>
    </pivotField>
    <pivotField name="Attendance Rate" axis="axisPage" multipleItemSelectionAllowed="1" showAll="0">
      <items count="7">
        <item x="3"/>
        <item x="4"/>
        <item x="0"/>
        <item x="1"/>
        <item x="2"/>
        <item x="5"/>
        <item t="default"/>
      </items>
    </pivotField>
    <pivotField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0"/>
  </rowFields>
  <rowItems count="25">
    <i>
      <x v="1"/>
    </i>
    <i>
      <x v="5"/>
    </i>
    <i>
      <x v="6"/>
    </i>
    <i>
      <x v="10"/>
    </i>
    <i>
      <x v="12"/>
    </i>
    <i>
      <x v="16"/>
    </i>
    <i>
      <x v="17"/>
    </i>
    <i>
      <x v="19"/>
    </i>
    <i>
      <x v="21"/>
    </i>
    <i>
      <x v="23"/>
    </i>
    <i>
      <x v="26"/>
    </i>
    <i>
      <x v="27"/>
    </i>
    <i>
      <x v="28"/>
    </i>
    <i>
      <x v="30"/>
    </i>
    <i>
      <x v="32"/>
    </i>
    <i>
      <x v="33"/>
    </i>
    <i>
      <x v="35"/>
    </i>
    <i>
      <x v="38"/>
    </i>
    <i>
      <x v="39"/>
    </i>
    <i>
      <x v="41"/>
    </i>
    <i>
      <x v="43"/>
    </i>
    <i>
      <x v="44"/>
    </i>
    <i>
      <x v="47"/>
    </i>
    <i>
      <x v="49"/>
    </i>
    <i t="grand">
      <x/>
    </i>
  </rowItems>
  <colItems count="1">
    <i/>
  </colItems>
  <pageFields count="3">
    <pageField fld="5" hier="-1"/>
    <pageField fld="8" item="1" hier="-1"/>
    <pageField fld="6" hier="-1"/>
  </pageFields>
  <formats count="12">
    <format dxfId="40">
      <pivotArea type="all" dataOnly="0" outline="0" fieldPosition="0"/>
    </format>
    <format dxfId="39">
      <pivotArea field="0" type="button" dataOnly="0" labelOnly="1" outline="0" axis="axisRow" fieldPosition="0"/>
    </format>
    <format dxfId="38">
      <pivotArea dataOnly="0" labelOnly="1" fieldPosition="0">
        <references count="1">
          <reference field="0" count="4">
            <x v="14"/>
            <x v="34"/>
            <x v="36"/>
            <x v="45"/>
          </reference>
        </references>
      </pivotArea>
    </format>
    <format dxfId="37">
      <pivotArea dataOnly="0" labelOnly="1" grandRow="1" outline="0" fieldPosition="0"/>
    </format>
    <format dxfId="36">
      <pivotArea type="all" dataOnly="0" outline="0" fieldPosition="0"/>
    </format>
    <format dxfId="35">
      <pivotArea field="0" type="button" dataOnly="0" labelOnly="1" outline="0" axis="axisRow" fieldPosition="0"/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0" count="4">
            <x v="14"/>
            <x v="34"/>
            <x v="36"/>
            <x v="45"/>
          </reference>
        </references>
      </pivotArea>
    </format>
    <format dxfId="32">
      <pivotArea type="all" dataOnly="0" outline="0" fieldPosition="0"/>
    </format>
    <format dxfId="31">
      <pivotArea field="0" type="button" dataOnly="0" labelOnly="1" outline="0" axis="axisRow" fieldPosition="0"/>
    </format>
    <format dxfId="30">
      <pivotArea dataOnly="0" labelOnly="1" fieldPosition="0">
        <references count="1">
          <reference field="0" count="24">
            <x v="1"/>
            <x v="5"/>
            <x v="6"/>
            <x v="10"/>
            <x v="12"/>
            <x v="16"/>
            <x v="17"/>
            <x v="19"/>
            <x v="21"/>
            <x v="23"/>
            <x v="26"/>
            <x v="27"/>
            <x v="28"/>
            <x v="30"/>
            <x v="32"/>
            <x v="33"/>
            <x v="35"/>
            <x v="38"/>
            <x v="39"/>
            <x v="41"/>
            <x v="43"/>
            <x v="44"/>
            <x v="47"/>
            <x v="49"/>
          </reference>
        </references>
      </pivotArea>
    </format>
    <format dxfId="29">
      <pivotArea dataOnly="0" labelOnly="1" grandRow="1" outline="0" fieldPosition="0"/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42F4B-A0DF-47F8-B9EA-A5A34D41AE3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 rowPageCount="1" colPageCount="1"/>
  <pivotFields count="6">
    <pivotField showAll="0"/>
    <pivotField numFmtId="15" showAll="0"/>
    <pivotField axis="axisRow" showAll="0">
      <items count="6">
        <item x="0"/>
        <item x="1"/>
        <item x="2"/>
        <item x="3"/>
        <item x="4"/>
        <item t="default"/>
      </items>
    </pivotField>
    <pivotField axis="axisPage" dataField="1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" item="1" hier="-1"/>
  </pageFields>
  <dataFields count="1">
    <dataField name="Count of Attended" fld="3" subtotal="count" baseField="2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8BD0C1-4FB9-473E-A92D-CFF3D15227D2}" name="Table1" displayName="Table1" ref="A1:I51" totalsRowShown="0" dataDxfId="28" dataCellStyle="Body Cell">
  <autoFilter ref="A1:I51" xr:uid="{CC8BD0C1-4FB9-473E-A92D-CFF3D15227D2}"/>
  <tableColumns count="9">
    <tableColumn id="1" xr3:uid="{DCBC7605-82C6-4FE5-A2A1-5511134021CF}" name="Name" dataCellStyle="Body Cell"/>
    <tableColumn id="2" xr3:uid="{A3000A93-0A52-44C9-B161-3CD3A51E0406}" name="Month" dataCellStyle="Body Cell"/>
    <tableColumn id="3" xr3:uid="{CD650AAD-2A68-464A-89AD-22EB394B250C}" name="Contact" dataCellStyle="Body Cell">
      <calculatedColumnFormula>VLOOKUP('Attendance Tracker'!A2, 'List 1'!A2:B58,2,)</calculatedColumnFormula>
    </tableColumn>
    <tableColumn id="4" xr3:uid="{CDCBE3BE-3FF9-4A86-A8C8-42E0C4EA00EE}" name="Group/Department">
      <calculatedColumnFormula>VLOOKUP(A2,'List 2'!A2:B51,2,)</calculatedColumnFormula>
    </tableColumn>
    <tableColumn id="5" xr3:uid="{D6817C00-A347-458C-A843-11F24CFB109F}" name="Total Days Present" dataDxfId="27" dataCellStyle="Body Cell">
      <calculatedColumnFormula>DATE(2024,7,5) - DATE(2024,7,1) + 1</calculatedColumnFormula>
    </tableColumn>
    <tableColumn id="6" xr3:uid="{7451FBB3-44EE-4AA8-8F80-F55DF603E56E}" name="Actual Days Present" dataDxfId="26" dataCellStyle="Body Cell">
      <calculatedColumnFormula>_xlfn.XLOOKUP(A2,'List 3'!A:A,'List 3'!F:F,)</calculatedColumnFormula>
    </tableColumn>
    <tableColumn id="7" xr3:uid="{E4394C7D-7E83-4CF0-8B75-5E99FED75CEE}" name="Attendance Percentage" dataDxfId="25" dataCellStyle="Body Cell">
      <calculatedColumnFormula>(F2/E2) * 100</calculatedColumnFormula>
    </tableColumn>
    <tableColumn id="8" xr3:uid="{2A91B85C-7D80-40A1-83D1-AC3AA9C25F47}" name="Minimum Attendance %" dataDxfId="24" dataCellStyle="Body Cell">
      <calculatedColumnFormula>VLOOKUP(D2,'List 2'!B:D,3,)</calculatedColumnFormula>
    </tableColumn>
    <tableColumn id="9" xr3:uid="{74C386C4-5725-4A74-810F-B564C1B6DFDD}" name="Requirements Met" dataDxfId="23" dataCellStyle="Body Cell">
      <calculatedColumnFormula>IF(Table1[[#This Row],[Attendance Percentage]]&gt;=Table1[[#This Row],[Minimum Attendance %]],"Yes","No")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C659-B766-47F7-A992-3B4981F09C76}">
  <dimension ref="A1:I51"/>
  <sheetViews>
    <sheetView tabSelected="1" workbookViewId="0">
      <selection activeCell="A3" sqref="A3"/>
    </sheetView>
  </sheetViews>
  <sheetFormatPr defaultRowHeight="14.4" x14ac:dyDescent="0.3"/>
  <cols>
    <col min="1" max="1" width="12.44140625" customWidth="1"/>
    <col min="2" max="2" width="11.5546875" style="9" customWidth="1"/>
    <col min="3" max="3" width="23.5546875" bestFit="1" customWidth="1"/>
    <col min="4" max="4" width="21.44140625" customWidth="1"/>
    <col min="5" max="5" width="14.5546875" customWidth="1"/>
    <col min="6" max="6" width="21.33203125" customWidth="1"/>
    <col min="7" max="7" width="24.21875" style="17" customWidth="1"/>
    <col min="8" max="8" width="11.109375" style="15" customWidth="1"/>
    <col min="9" max="9" width="19.5546875" style="17" customWidth="1"/>
  </cols>
  <sheetData>
    <row r="1" spans="1:9" ht="15.6" thickTop="1" thickBot="1" x14ac:dyDescent="0.35">
      <c r="A1" s="1" t="s">
        <v>0</v>
      </c>
      <c r="B1" s="10" t="s">
        <v>1</v>
      </c>
      <c r="C1" s="1" t="s">
        <v>2</v>
      </c>
      <c r="D1" s="1" t="s">
        <v>3</v>
      </c>
      <c r="E1" s="1" t="s">
        <v>4</v>
      </c>
      <c r="F1" s="1" t="s">
        <v>124</v>
      </c>
      <c r="G1" s="16" t="s">
        <v>126</v>
      </c>
      <c r="H1" s="14" t="s">
        <v>129</v>
      </c>
      <c r="I1" s="16" t="s">
        <v>128</v>
      </c>
    </row>
    <row r="2" spans="1:9" ht="15" thickTop="1" x14ac:dyDescent="0.3">
      <c r="A2" s="11" t="s">
        <v>5</v>
      </c>
      <c r="B2" s="11">
        <v>45474</v>
      </c>
      <c r="C2" s="11" t="str">
        <f>VLOOKUP('Attendance Tracker'!A2, 'List 1'!A2:B58,2,)</f>
        <v>attendee1@company.com</v>
      </c>
      <c r="D2" t="str">
        <f>VLOOKUP(A2,'List 2'!A2:B51,2,)</f>
        <v>Marketing</v>
      </c>
      <c r="E2" s="13">
        <f>DATE(2024,7,5) - DATE(2024,7,1) + 1</f>
        <v>5</v>
      </c>
      <c r="F2" s="13">
        <f>_xlfn.XLOOKUP(A2,'List 3'!A:A,'List 3'!F:F,)</f>
        <v>2</v>
      </c>
      <c r="G2" s="13">
        <f>(F2/E2) * 100</f>
        <v>40</v>
      </c>
      <c r="H2" s="12">
        <f>VLOOKUP(D2,'List 2'!B:D,3,)</f>
        <v>80</v>
      </c>
      <c r="I2" s="13" t="str">
        <f>IF(Table1[[#This Row],[Attendance Percentage]]&gt;=Table1[[#This Row],[Minimum Attendance %]],"Yes","No")</f>
        <v>No</v>
      </c>
    </row>
    <row r="3" spans="1:9" x14ac:dyDescent="0.3">
      <c r="A3" s="11" t="s">
        <v>6</v>
      </c>
      <c r="B3" s="11">
        <v>45474</v>
      </c>
      <c r="C3" s="11" t="str">
        <f>VLOOKUP('Attendance Tracker'!A3, 'List 1'!A3:B59,2,)</f>
        <v>attendee2@company.com</v>
      </c>
      <c r="D3" t="str">
        <f>VLOOKUP(A3,'List 2'!A3:B52,2,)</f>
        <v>Sales</v>
      </c>
      <c r="E3" s="13">
        <f t="shared" ref="E3:E51" si="0">DATE(2024,7,5) - DATE(2024,7,1) + 1</f>
        <v>5</v>
      </c>
      <c r="F3" s="13">
        <f>_xlfn.XLOOKUP(A3,'List 3'!A:A,'List 3'!F:F,)</f>
        <v>3</v>
      </c>
      <c r="G3" s="13">
        <f t="shared" ref="G3:G51" si="1">(F3/E3) * 100</f>
        <v>60</v>
      </c>
      <c r="H3" s="12">
        <f>VLOOKUP(D3,'List 2'!B:D,3,)</f>
        <v>80</v>
      </c>
      <c r="I3" s="13" t="str">
        <f>IF(Table1[[#This Row],[Attendance Percentage]]&gt;=Table1[[#This Row],[Minimum Attendance %]],"Yes","No")</f>
        <v>No</v>
      </c>
    </row>
    <row r="4" spans="1:9" x14ac:dyDescent="0.3">
      <c r="A4" s="11" t="s">
        <v>7</v>
      </c>
      <c r="B4" s="11">
        <v>45474</v>
      </c>
      <c r="C4" s="11" t="str">
        <f>VLOOKUP('Attendance Tracker'!A4, 'List 1'!A4:B60,2,)</f>
        <v>attendee3@company.com</v>
      </c>
      <c r="D4" t="str">
        <f>VLOOKUP(A4,'List 2'!A4:B53,2,)</f>
        <v>HR</v>
      </c>
      <c r="E4" s="13">
        <f t="shared" si="0"/>
        <v>5</v>
      </c>
      <c r="F4" s="13">
        <f>_xlfn.XLOOKUP(A4,'List 3'!A:A,'List 3'!F:F,)</f>
        <v>2</v>
      </c>
      <c r="G4" s="13">
        <f t="shared" si="1"/>
        <v>40</v>
      </c>
      <c r="H4" s="12">
        <f>VLOOKUP(D4,'List 2'!B:D,3,)</f>
        <v>80</v>
      </c>
      <c r="I4" s="13" t="str">
        <f>IF(Table1[[#This Row],[Attendance Percentage]]&gt;=Table1[[#This Row],[Minimum Attendance %]],"Yes","No")</f>
        <v>No</v>
      </c>
    </row>
    <row r="5" spans="1:9" x14ac:dyDescent="0.3">
      <c r="A5" s="11" t="s">
        <v>8</v>
      </c>
      <c r="B5" s="11">
        <v>45474</v>
      </c>
      <c r="C5" s="11" t="str">
        <f>VLOOKUP('Attendance Tracker'!A5, 'List 1'!A5:B61,2,)</f>
        <v>attendee4@company.com</v>
      </c>
      <c r="D5" t="str">
        <f>VLOOKUP(A5,'List 2'!A5:B54,2,)</f>
        <v>IT</v>
      </c>
      <c r="E5" s="13">
        <f t="shared" si="0"/>
        <v>5</v>
      </c>
      <c r="F5" s="13">
        <f>_xlfn.XLOOKUP(A5,'List 3'!A:A,'List 3'!F:F,)</f>
        <v>2</v>
      </c>
      <c r="G5" s="13">
        <f t="shared" si="1"/>
        <v>40</v>
      </c>
      <c r="H5" s="12">
        <f>VLOOKUP(D5,'List 2'!B:D,3,)</f>
        <v>40</v>
      </c>
      <c r="I5" s="13" t="str">
        <f>IF(Table1[[#This Row],[Attendance Percentage]]&gt;=Table1[[#This Row],[Minimum Attendance %]],"Yes","No")</f>
        <v>Yes</v>
      </c>
    </row>
    <row r="6" spans="1:9" x14ac:dyDescent="0.3">
      <c r="A6" s="11" t="s">
        <v>9</v>
      </c>
      <c r="B6" s="11">
        <v>45474</v>
      </c>
      <c r="C6" s="11" t="str">
        <f>VLOOKUP('Attendance Tracker'!A6, 'List 1'!A6:B62,2,)</f>
        <v>attendee5@company.com</v>
      </c>
      <c r="D6" t="str">
        <f>VLOOKUP(A6,'List 2'!A6:B55,2,)</f>
        <v>Finance</v>
      </c>
      <c r="E6" s="13">
        <f t="shared" si="0"/>
        <v>5</v>
      </c>
      <c r="F6" s="13">
        <f>_xlfn.XLOOKUP(A6,'List 3'!A:A,'List 3'!F:F,)</f>
        <v>3</v>
      </c>
      <c r="G6" s="13">
        <f t="shared" si="1"/>
        <v>60</v>
      </c>
      <c r="H6" s="12">
        <f>VLOOKUP(D6,'List 2'!B:D,3,)</f>
        <v>40</v>
      </c>
      <c r="I6" s="13" t="str">
        <f>IF(Table1[[#This Row],[Attendance Percentage]]&gt;=Table1[[#This Row],[Minimum Attendance %]],"Yes","No")</f>
        <v>Yes</v>
      </c>
    </row>
    <row r="7" spans="1:9" x14ac:dyDescent="0.3">
      <c r="A7" s="11" t="s">
        <v>10</v>
      </c>
      <c r="B7" s="11">
        <v>45474</v>
      </c>
      <c r="C7" s="11" t="str">
        <f>VLOOKUP('Attendance Tracker'!A7, 'List 1'!A7:B63,2,)</f>
        <v>attendee6@company.com</v>
      </c>
      <c r="D7" t="str">
        <f>VLOOKUP(A7,'List 2'!A7:B56,2,)</f>
        <v>Marketing</v>
      </c>
      <c r="E7" s="13">
        <f t="shared" si="0"/>
        <v>5</v>
      </c>
      <c r="F7" s="13">
        <f>_xlfn.XLOOKUP(A7,'List 3'!A:A,'List 3'!F:F,)</f>
        <v>3</v>
      </c>
      <c r="G7" s="13">
        <f t="shared" si="1"/>
        <v>60</v>
      </c>
      <c r="H7" s="12">
        <f>VLOOKUP(D7,'List 2'!B:D,3,)</f>
        <v>80</v>
      </c>
      <c r="I7" s="13" t="str">
        <f>IF(Table1[[#This Row],[Attendance Percentage]]&gt;=Table1[[#This Row],[Minimum Attendance %]],"Yes","No")</f>
        <v>No</v>
      </c>
    </row>
    <row r="8" spans="1:9" x14ac:dyDescent="0.3">
      <c r="A8" s="11" t="s">
        <v>11</v>
      </c>
      <c r="B8" s="11">
        <v>45474</v>
      </c>
      <c r="C8" s="11" t="str">
        <f>VLOOKUP('Attendance Tracker'!A8, 'List 1'!A8:B64,2,)</f>
        <v>attendee7@company.com</v>
      </c>
      <c r="D8" t="str">
        <f>VLOOKUP(A8,'List 2'!A8:B57,2,)</f>
        <v>Sales</v>
      </c>
      <c r="E8" s="13">
        <f t="shared" si="0"/>
        <v>5</v>
      </c>
      <c r="F8" s="13">
        <f>_xlfn.XLOOKUP(A8,'List 3'!A:A,'List 3'!F:F,)</f>
        <v>4</v>
      </c>
      <c r="G8" s="13">
        <f t="shared" si="1"/>
        <v>80</v>
      </c>
      <c r="H8" s="12">
        <f>VLOOKUP(D8,'List 2'!B:D,3,)</f>
        <v>80</v>
      </c>
      <c r="I8" s="13" t="str">
        <f>IF(Table1[[#This Row],[Attendance Percentage]]&gt;=Table1[[#This Row],[Minimum Attendance %]],"Yes","No")</f>
        <v>Yes</v>
      </c>
    </row>
    <row r="9" spans="1:9" x14ac:dyDescent="0.3">
      <c r="A9" s="11" t="s">
        <v>12</v>
      </c>
      <c r="B9" s="11">
        <v>45474</v>
      </c>
      <c r="C9" s="11" t="str">
        <f>VLOOKUP('Attendance Tracker'!A9, 'List 1'!A9:B65,2,)</f>
        <v>attendee8@company.com</v>
      </c>
      <c r="D9" t="str">
        <f>VLOOKUP(A9,'List 2'!A9:B58,2,)</f>
        <v>HR</v>
      </c>
      <c r="E9" s="13">
        <f t="shared" si="0"/>
        <v>5</v>
      </c>
      <c r="F9" s="13">
        <f>_xlfn.XLOOKUP(A9,'List 3'!A:A,'List 3'!F:F,)</f>
        <v>3</v>
      </c>
      <c r="G9" s="13">
        <f t="shared" si="1"/>
        <v>60</v>
      </c>
      <c r="H9" s="12">
        <f>VLOOKUP(D9,'List 2'!B:D,3,)</f>
        <v>80</v>
      </c>
      <c r="I9" s="13" t="str">
        <f>IF(Table1[[#This Row],[Attendance Percentage]]&gt;=Table1[[#This Row],[Minimum Attendance %]],"Yes","No")</f>
        <v>No</v>
      </c>
    </row>
    <row r="10" spans="1:9" x14ac:dyDescent="0.3">
      <c r="A10" s="11" t="s">
        <v>13</v>
      </c>
      <c r="B10" s="11">
        <v>45474</v>
      </c>
      <c r="C10" s="11" t="str">
        <f>VLOOKUP('Attendance Tracker'!A10, 'List 1'!A10:B66,2,)</f>
        <v>attendee9@company.com</v>
      </c>
      <c r="D10" t="str">
        <f>VLOOKUP(A10,'List 2'!A10:B59,2,)</f>
        <v>IT</v>
      </c>
      <c r="E10" s="13">
        <f t="shared" si="0"/>
        <v>5</v>
      </c>
      <c r="F10" s="13">
        <f>_xlfn.XLOOKUP(A10,'List 3'!A:A,'List 3'!F:F,)</f>
        <v>4</v>
      </c>
      <c r="G10" s="13">
        <f t="shared" si="1"/>
        <v>80</v>
      </c>
      <c r="H10" s="12">
        <f>VLOOKUP(D10,'List 2'!B:D,3,)</f>
        <v>40</v>
      </c>
      <c r="I10" s="13" t="str">
        <f>IF(Table1[[#This Row],[Attendance Percentage]]&gt;=Table1[[#This Row],[Minimum Attendance %]],"Yes","No")</f>
        <v>Yes</v>
      </c>
    </row>
    <row r="11" spans="1:9" x14ac:dyDescent="0.3">
      <c r="A11" s="11" t="s">
        <v>14</v>
      </c>
      <c r="B11" s="11">
        <v>45474</v>
      </c>
      <c r="C11" s="11" t="str">
        <f>VLOOKUP('Attendance Tracker'!A11, 'List 1'!A11:B67,2,)</f>
        <v>attendee10@company.com</v>
      </c>
      <c r="D11" t="str">
        <f>VLOOKUP(A11,'List 2'!A11:B60,2,)</f>
        <v>Finance</v>
      </c>
      <c r="E11" s="13">
        <f t="shared" si="0"/>
        <v>5</v>
      </c>
      <c r="F11" s="13">
        <f>_xlfn.XLOOKUP(A11,'List 3'!A:A,'List 3'!F:F,)</f>
        <v>2</v>
      </c>
      <c r="G11" s="13">
        <f t="shared" si="1"/>
        <v>40</v>
      </c>
      <c r="H11" s="12">
        <f>VLOOKUP(D11,'List 2'!B:D,3,)</f>
        <v>40</v>
      </c>
      <c r="I11" s="13" t="str">
        <f>IF(Table1[[#This Row],[Attendance Percentage]]&gt;=Table1[[#This Row],[Minimum Attendance %]],"Yes","No")</f>
        <v>Yes</v>
      </c>
    </row>
    <row r="12" spans="1:9" x14ac:dyDescent="0.3">
      <c r="A12" s="11" t="s">
        <v>15</v>
      </c>
      <c r="B12" s="11">
        <v>45474</v>
      </c>
      <c r="C12" s="11" t="str">
        <f>VLOOKUP('Attendance Tracker'!A12, 'List 1'!A12:B68,2,)</f>
        <v>attendee11@company.com</v>
      </c>
      <c r="D12" t="str">
        <f>VLOOKUP(A12,'List 2'!A12:B61,2,)</f>
        <v>Marketing</v>
      </c>
      <c r="E12" s="13">
        <f t="shared" si="0"/>
        <v>5</v>
      </c>
      <c r="F12" s="13">
        <f>_xlfn.XLOOKUP(A12,'List 3'!A:A,'List 3'!F:F,)</f>
        <v>3</v>
      </c>
      <c r="G12" s="13">
        <f t="shared" si="1"/>
        <v>60</v>
      </c>
      <c r="H12" s="12">
        <f>VLOOKUP(D12,'List 2'!B:D,3,)</f>
        <v>80</v>
      </c>
      <c r="I12" s="13" t="str">
        <f>IF(Table1[[#This Row],[Attendance Percentage]]&gt;=Table1[[#This Row],[Minimum Attendance %]],"Yes","No")</f>
        <v>No</v>
      </c>
    </row>
    <row r="13" spans="1:9" x14ac:dyDescent="0.3">
      <c r="A13" s="11" t="s">
        <v>16</v>
      </c>
      <c r="B13" s="11">
        <v>45474</v>
      </c>
      <c r="C13" s="11" t="str">
        <f>VLOOKUP('Attendance Tracker'!A13, 'List 1'!A13:B69,2,)</f>
        <v>attendee12@company.com</v>
      </c>
      <c r="D13" t="str">
        <f>VLOOKUP(A13,'List 2'!A13:B62,2,)</f>
        <v>Sales</v>
      </c>
      <c r="E13" s="13">
        <f t="shared" si="0"/>
        <v>5</v>
      </c>
      <c r="F13" s="13">
        <f>_xlfn.XLOOKUP(A13,'List 3'!A:A,'List 3'!F:F,)</f>
        <v>0</v>
      </c>
      <c r="G13" s="13">
        <f t="shared" si="1"/>
        <v>0</v>
      </c>
      <c r="H13" s="12">
        <f>VLOOKUP(D13,'List 2'!B:D,3,)</f>
        <v>80</v>
      </c>
      <c r="I13" s="13" t="str">
        <f>IF(Table1[[#This Row],[Attendance Percentage]]&gt;=Table1[[#This Row],[Minimum Attendance %]],"Yes","No")</f>
        <v>No</v>
      </c>
    </row>
    <row r="14" spans="1:9" x14ac:dyDescent="0.3">
      <c r="A14" s="11" t="s">
        <v>17</v>
      </c>
      <c r="B14" s="11">
        <v>45474</v>
      </c>
      <c r="C14" s="11" t="str">
        <f>VLOOKUP('Attendance Tracker'!A14, 'List 1'!A14:B70,2,)</f>
        <v>attendee13@company.com</v>
      </c>
      <c r="D14" t="str">
        <f>VLOOKUP(A14,'List 2'!A14:B63,2,)</f>
        <v>HR</v>
      </c>
      <c r="E14" s="13">
        <f t="shared" si="0"/>
        <v>5</v>
      </c>
      <c r="F14" s="13">
        <f>_xlfn.XLOOKUP(A14,'List 3'!A:A,'List 3'!F:F,)</f>
        <v>3</v>
      </c>
      <c r="G14" s="13">
        <f t="shared" si="1"/>
        <v>60</v>
      </c>
      <c r="H14" s="12">
        <f>VLOOKUP(D14,'List 2'!B:D,3,)</f>
        <v>80</v>
      </c>
      <c r="I14" s="13" t="str">
        <f>IF(Table1[[#This Row],[Attendance Percentage]]&gt;=Table1[[#This Row],[Minimum Attendance %]],"Yes","No")</f>
        <v>No</v>
      </c>
    </row>
    <row r="15" spans="1:9" x14ac:dyDescent="0.3">
      <c r="A15" s="11" t="s">
        <v>18</v>
      </c>
      <c r="B15" s="11">
        <v>45474</v>
      </c>
      <c r="C15" s="11" t="str">
        <f>VLOOKUP('Attendance Tracker'!A15, 'List 1'!A15:B71,2,)</f>
        <v>attendee14@company.com</v>
      </c>
      <c r="D15" t="str">
        <f>VLOOKUP(A15,'List 2'!A15:B64,2,)</f>
        <v>IT</v>
      </c>
      <c r="E15" s="13">
        <f t="shared" si="0"/>
        <v>5</v>
      </c>
      <c r="F15" s="13">
        <f>_xlfn.XLOOKUP(A15,'List 3'!A:A,'List 3'!F:F,)</f>
        <v>3</v>
      </c>
      <c r="G15" s="13">
        <f t="shared" si="1"/>
        <v>60</v>
      </c>
      <c r="H15" s="12">
        <f>VLOOKUP(D15,'List 2'!B:D,3,)</f>
        <v>40</v>
      </c>
      <c r="I15" s="13" t="str">
        <f>IF(Table1[[#This Row],[Attendance Percentage]]&gt;=Table1[[#This Row],[Minimum Attendance %]],"Yes","No")</f>
        <v>Yes</v>
      </c>
    </row>
    <row r="16" spans="1:9" x14ac:dyDescent="0.3">
      <c r="A16" s="11" t="s">
        <v>19</v>
      </c>
      <c r="B16" s="11">
        <v>45474</v>
      </c>
      <c r="C16" s="11" t="str">
        <f>VLOOKUP('Attendance Tracker'!A16, 'List 1'!A16:B72,2,)</f>
        <v>attendee15@company.com</v>
      </c>
      <c r="D16" t="str">
        <f>VLOOKUP(A16,'List 2'!A16:B65,2,)</f>
        <v>Finance</v>
      </c>
      <c r="E16" s="13">
        <f t="shared" si="0"/>
        <v>5</v>
      </c>
      <c r="F16" s="13">
        <f>_xlfn.XLOOKUP(A16,'List 3'!A:A,'List 3'!F:F,)</f>
        <v>3</v>
      </c>
      <c r="G16" s="13">
        <f t="shared" si="1"/>
        <v>60</v>
      </c>
      <c r="H16" s="12">
        <f>VLOOKUP(D16,'List 2'!B:D,3,)</f>
        <v>40</v>
      </c>
      <c r="I16" s="13" t="str">
        <f>IF(Table1[[#This Row],[Attendance Percentage]]&gt;=Table1[[#This Row],[Minimum Attendance %]],"Yes","No")</f>
        <v>Yes</v>
      </c>
    </row>
    <row r="17" spans="1:9" x14ac:dyDescent="0.3">
      <c r="A17" s="11" t="s">
        <v>20</v>
      </c>
      <c r="B17" s="11">
        <v>45474</v>
      </c>
      <c r="C17" s="11" t="str">
        <f>VLOOKUP('Attendance Tracker'!A17, 'List 1'!A17:B73,2,)</f>
        <v>attendee16@company.com</v>
      </c>
      <c r="D17" t="str">
        <f>VLOOKUP(A17,'List 2'!A17:B66,2,)</f>
        <v>Marketing</v>
      </c>
      <c r="E17" s="13">
        <f t="shared" si="0"/>
        <v>5</v>
      </c>
      <c r="F17" s="13">
        <f>_xlfn.XLOOKUP(A17,'List 3'!A:A,'List 3'!F:F,)</f>
        <v>2</v>
      </c>
      <c r="G17" s="13">
        <f t="shared" si="1"/>
        <v>40</v>
      </c>
      <c r="H17" s="12">
        <f>VLOOKUP(D17,'List 2'!B:D,3,)</f>
        <v>80</v>
      </c>
      <c r="I17" s="13" t="str">
        <f>IF(Table1[[#This Row],[Attendance Percentage]]&gt;=Table1[[#This Row],[Minimum Attendance %]],"Yes","No")</f>
        <v>No</v>
      </c>
    </row>
    <row r="18" spans="1:9" x14ac:dyDescent="0.3">
      <c r="A18" s="11" t="s">
        <v>21</v>
      </c>
      <c r="B18" s="11">
        <v>45474</v>
      </c>
      <c r="C18" s="11" t="str">
        <f>VLOOKUP('Attendance Tracker'!A18, 'List 1'!A18:B74,2,)</f>
        <v>attendee17@company.com</v>
      </c>
      <c r="D18" t="str">
        <f>VLOOKUP(A18,'List 2'!A18:B67,2,)</f>
        <v>Sales</v>
      </c>
      <c r="E18" s="13">
        <f t="shared" si="0"/>
        <v>5</v>
      </c>
      <c r="F18" s="13">
        <f>_xlfn.XLOOKUP(A18,'List 3'!A:A,'List 3'!F:F,)</f>
        <v>3</v>
      </c>
      <c r="G18" s="13">
        <f t="shared" si="1"/>
        <v>60</v>
      </c>
      <c r="H18" s="12">
        <f>VLOOKUP(D18,'List 2'!B:D,3,)</f>
        <v>80</v>
      </c>
      <c r="I18" s="13" t="str">
        <f>IF(Table1[[#This Row],[Attendance Percentage]]&gt;=Table1[[#This Row],[Minimum Attendance %]],"Yes","No")</f>
        <v>No</v>
      </c>
    </row>
    <row r="19" spans="1:9" x14ac:dyDescent="0.3">
      <c r="A19" s="11" t="s">
        <v>22</v>
      </c>
      <c r="B19" s="11">
        <v>45474</v>
      </c>
      <c r="C19" s="11" t="str">
        <f>VLOOKUP('Attendance Tracker'!A19, 'List 1'!A19:B75,2,)</f>
        <v>attendee18@company.com</v>
      </c>
      <c r="D19" t="str">
        <f>VLOOKUP(A19,'List 2'!A19:B68,2,)</f>
        <v>HR</v>
      </c>
      <c r="E19" s="13">
        <f t="shared" si="0"/>
        <v>5</v>
      </c>
      <c r="F19" s="13">
        <f>_xlfn.XLOOKUP(A19,'List 3'!A:A,'List 3'!F:F,)</f>
        <v>3</v>
      </c>
      <c r="G19" s="13">
        <f t="shared" si="1"/>
        <v>60</v>
      </c>
      <c r="H19" s="12">
        <f>VLOOKUP(D19,'List 2'!B:D,3,)</f>
        <v>80</v>
      </c>
      <c r="I19" s="13" t="str">
        <f>IF(Table1[[#This Row],[Attendance Percentage]]&gt;=Table1[[#This Row],[Minimum Attendance %]],"Yes","No")</f>
        <v>No</v>
      </c>
    </row>
    <row r="20" spans="1:9" x14ac:dyDescent="0.3">
      <c r="A20" s="11" t="s">
        <v>23</v>
      </c>
      <c r="B20" s="11">
        <v>45474</v>
      </c>
      <c r="C20" s="11" t="str">
        <f>VLOOKUP('Attendance Tracker'!A20, 'List 1'!A20:B76,2,)</f>
        <v>attendee19@company.com</v>
      </c>
      <c r="D20" t="str">
        <f>VLOOKUP(A20,'List 2'!A20:B69,2,)</f>
        <v>IT</v>
      </c>
      <c r="E20" s="13">
        <f t="shared" si="0"/>
        <v>5</v>
      </c>
      <c r="F20" s="13">
        <f>_xlfn.XLOOKUP(A20,'List 3'!A:A,'List 3'!F:F,)</f>
        <v>3</v>
      </c>
      <c r="G20" s="13">
        <f t="shared" si="1"/>
        <v>60</v>
      </c>
      <c r="H20" s="12">
        <f>VLOOKUP(D20,'List 2'!B:D,3,)</f>
        <v>40</v>
      </c>
      <c r="I20" s="13" t="str">
        <f>IF(Table1[[#This Row],[Attendance Percentage]]&gt;=Table1[[#This Row],[Minimum Attendance %]],"Yes","No")</f>
        <v>Yes</v>
      </c>
    </row>
    <row r="21" spans="1:9" x14ac:dyDescent="0.3">
      <c r="A21" s="11" t="s">
        <v>24</v>
      </c>
      <c r="B21" s="11">
        <v>45474</v>
      </c>
      <c r="C21" s="11" t="str">
        <f>VLOOKUP('Attendance Tracker'!A21, 'List 1'!A21:B77,2,)</f>
        <v>attendee20@company.com</v>
      </c>
      <c r="D21" t="str">
        <f>VLOOKUP(A21,'List 2'!A21:B70,2,)</f>
        <v>Finance</v>
      </c>
      <c r="E21" s="13">
        <f t="shared" si="0"/>
        <v>5</v>
      </c>
      <c r="F21" s="13">
        <f>_xlfn.XLOOKUP(A21,'List 3'!A:A,'List 3'!F:F,)</f>
        <v>2</v>
      </c>
      <c r="G21" s="13">
        <f t="shared" si="1"/>
        <v>40</v>
      </c>
      <c r="H21" s="12">
        <f>VLOOKUP(D21,'List 2'!B:D,3,)</f>
        <v>40</v>
      </c>
      <c r="I21" s="13" t="str">
        <f>IF(Table1[[#This Row],[Attendance Percentage]]&gt;=Table1[[#This Row],[Minimum Attendance %]],"Yes","No")</f>
        <v>Yes</v>
      </c>
    </row>
    <row r="22" spans="1:9" x14ac:dyDescent="0.3">
      <c r="A22" s="11" t="s">
        <v>25</v>
      </c>
      <c r="B22" s="11">
        <v>45474</v>
      </c>
      <c r="C22" s="11" t="str">
        <f>VLOOKUP('Attendance Tracker'!A22, 'List 1'!A22:B78,2,)</f>
        <v>attendee21@company.com</v>
      </c>
      <c r="D22" t="str">
        <f>VLOOKUP(A22,'List 2'!A22:B71,2,)</f>
        <v>Marketing</v>
      </c>
      <c r="E22" s="13">
        <f t="shared" si="0"/>
        <v>5</v>
      </c>
      <c r="F22" s="13">
        <f>_xlfn.XLOOKUP(A22,'List 3'!A:A,'List 3'!F:F,)</f>
        <v>3</v>
      </c>
      <c r="G22" s="13">
        <f t="shared" si="1"/>
        <v>60</v>
      </c>
      <c r="H22" s="12">
        <f>VLOOKUP(D22,'List 2'!B:D,3,)</f>
        <v>80</v>
      </c>
      <c r="I22" s="13" t="str">
        <f>IF(Table1[[#This Row],[Attendance Percentage]]&gt;=Table1[[#This Row],[Minimum Attendance %]],"Yes","No")</f>
        <v>No</v>
      </c>
    </row>
    <row r="23" spans="1:9" x14ac:dyDescent="0.3">
      <c r="A23" s="11" t="s">
        <v>26</v>
      </c>
      <c r="B23" s="11">
        <v>45474</v>
      </c>
      <c r="C23" s="11" t="str">
        <f>VLOOKUP('Attendance Tracker'!A23, 'List 1'!A23:B79,2,)</f>
        <v>attendee22@company.com</v>
      </c>
      <c r="D23" t="str">
        <f>VLOOKUP(A23,'List 2'!A23:B72,2,)</f>
        <v>Sales</v>
      </c>
      <c r="E23" s="13">
        <f t="shared" si="0"/>
        <v>5</v>
      </c>
      <c r="F23" s="13">
        <f>_xlfn.XLOOKUP(A23,'List 3'!A:A,'List 3'!F:F,)</f>
        <v>1</v>
      </c>
      <c r="G23" s="13">
        <f t="shared" si="1"/>
        <v>20</v>
      </c>
      <c r="H23" s="12">
        <f>VLOOKUP(D23,'List 2'!B:D,3,)</f>
        <v>80</v>
      </c>
      <c r="I23" s="13" t="str">
        <f>IF(Table1[[#This Row],[Attendance Percentage]]&gt;=Table1[[#This Row],[Minimum Attendance %]],"Yes","No")</f>
        <v>No</v>
      </c>
    </row>
    <row r="24" spans="1:9" x14ac:dyDescent="0.3">
      <c r="A24" s="11" t="s">
        <v>27</v>
      </c>
      <c r="B24" s="11">
        <v>45474</v>
      </c>
      <c r="C24" s="11" t="str">
        <f>VLOOKUP('Attendance Tracker'!A24, 'List 1'!A24:B80,2,)</f>
        <v>attendee23@company.com</v>
      </c>
      <c r="D24" t="str">
        <f>VLOOKUP(A24,'List 2'!A24:B73,2,)</f>
        <v>HR</v>
      </c>
      <c r="E24" s="13">
        <f t="shared" si="0"/>
        <v>5</v>
      </c>
      <c r="F24" s="13">
        <f>_xlfn.XLOOKUP(A24,'List 3'!A:A,'List 3'!F:F,)</f>
        <v>3</v>
      </c>
      <c r="G24" s="13">
        <f t="shared" si="1"/>
        <v>60</v>
      </c>
      <c r="H24" s="12">
        <f>VLOOKUP(D24,'List 2'!B:D,3,)</f>
        <v>80</v>
      </c>
      <c r="I24" s="13" t="str">
        <f>IF(Table1[[#This Row],[Attendance Percentage]]&gt;=Table1[[#This Row],[Minimum Attendance %]],"Yes","No")</f>
        <v>No</v>
      </c>
    </row>
    <row r="25" spans="1:9" x14ac:dyDescent="0.3">
      <c r="A25" s="11" t="s">
        <v>28</v>
      </c>
      <c r="B25" s="11">
        <v>45474</v>
      </c>
      <c r="C25" s="11" t="str">
        <f>VLOOKUP('Attendance Tracker'!A25, 'List 1'!A25:B81,2,)</f>
        <v>attendee24@company.com</v>
      </c>
      <c r="D25" t="str">
        <f>VLOOKUP(A25,'List 2'!A25:B74,2,)</f>
        <v>IT</v>
      </c>
      <c r="E25" s="13">
        <f t="shared" si="0"/>
        <v>5</v>
      </c>
      <c r="F25" s="13">
        <f>_xlfn.XLOOKUP(A25,'List 3'!A:A,'List 3'!F:F,)</f>
        <v>2</v>
      </c>
      <c r="G25" s="13">
        <f t="shared" si="1"/>
        <v>40</v>
      </c>
      <c r="H25" s="12">
        <f>VLOOKUP(D25,'List 2'!B:D,3,)</f>
        <v>40</v>
      </c>
      <c r="I25" s="13" t="str">
        <f>IF(Table1[[#This Row],[Attendance Percentage]]&gt;=Table1[[#This Row],[Minimum Attendance %]],"Yes","No")</f>
        <v>Yes</v>
      </c>
    </row>
    <row r="26" spans="1:9" x14ac:dyDescent="0.3">
      <c r="A26" s="11" t="s">
        <v>29</v>
      </c>
      <c r="B26" s="11">
        <v>45474</v>
      </c>
      <c r="C26" s="11" t="str">
        <f>VLOOKUP('Attendance Tracker'!A26, 'List 1'!A26:B82,2,)</f>
        <v>attendee25@company.com</v>
      </c>
      <c r="D26" t="str">
        <f>VLOOKUP(A26,'List 2'!A26:B75,2,)</f>
        <v>Finance</v>
      </c>
      <c r="E26" s="13">
        <f t="shared" si="0"/>
        <v>5</v>
      </c>
      <c r="F26" s="13">
        <f>_xlfn.XLOOKUP(A26,'List 3'!A:A,'List 3'!F:F,)</f>
        <v>2</v>
      </c>
      <c r="G26" s="13">
        <f t="shared" si="1"/>
        <v>40</v>
      </c>
      <c r="H26" s="12">
        <f>VLOOKUP(D26,'List 2'!B:D,3,)</f>
        <v>40</v>
      </c>
      <c r="I26" s="13" t="str">
        <f>IF(Table1[[#This Row],[Attendance Percentage]]&gt;=Table1[[#This Row],[Minimum Attendance %]],"Yes","No")</f>
        <v>Yes</v>
      </c>
    </row>
    <row r="27" spans="1:9" x14ac:dyDescent="0.3">
      <c r="A27" s="11" t="s">
        <v>30</v>
      </c>
      <c r="B27" s="11">
        <v>45474</v>
      </c>
      <c r="C27" s="11" t="str">
        <f>VLOOKUP('Attendance Tracker'!A27, 'List 1'!A27:B83,2,)</f>
        <v>attendee26@company.com</v>
      </c>
      <c r="D27" t="str">
        <f>VLOOKUP(A27,'List 2'!A27:B76,2,)</f>
        <v>Marketing</v>
      </c>
      <c r="E27" s="13">
        <f t="shared" si="0"/>
        <v>5</v>
      </c>
      <c r="F27" s="13">
        <f>_xlfn.XLOOKUP(A27,'List 3'!A:A,'List 3'!F:F,)</f>
        <v>2</v>
      </c>
      <c r="G27" s="13">
        <f t="shared" si="1"/>
        <v>40</v>
      </c>
      <c r="H27" s="12">
        <f>VLOOKUP(D27,'List 2'!B:D,3,)</f>
        <v>80</v>
      </c>
      <c r="I27" s="13" t="str">
        <f>IF(Table1[[#This Row],[Attendance Percentage]]&gt;=Table1[[#This Row],[Minimum Attendance %]],"Yes","No")</f>
        <v>No</v>
      </c>
    </row>
    <row r="28" spans="1:9" x14ac:dyDescent="0.3">
      <c r="A28" s="11" t="s">
        <v>31</v>
      </c>
      <c r="B28" s="11">
        <v>45474</v>
      </c>
      <c r="C28" s="11" t="str">
        <f>VLOOKUP('Attendance Tracker'!A28, 'List 1'!A28:B84,2,)</f>
        <v>attendee27@company.com</v>
      </c>
      <c r="D28" t="str">
        <f>VLOOKUP(A28,'List 2'!A28:B77,2,)</f>
        <v>Sales</v>
      </c>
      <c r="E28" s="13">
        <f t="shared" si="0"/>
        <v>5</v>
      </c>
      <c r="F28" s="13">
        <f>_xlfn.XLOOKUP(A28,'List 3'!A:A,'List 3'!F:F,)</f>
        <v>4</v>
      </c>
      <c r="G28" s="13">
        <f t="shared" si="1"/>
        <v>80</v>
      </c>
      <c r="H28" s="12">
        <f>VLOOKUP(D28,'List 2'!B:D,3,)</f>
        <v>80</v>
      </c>
      <c r="I28" s="13" t="str">
        <f>IF(Table1[[#This Row],[Attendance Percentage]]&gt;=Table1[[#This Row],[Minimum Attendance %]],"Yes","No")</f>
        <v>Yes</v>
      </c>
    </row>
    <row r="29" spans="1:9" x14ac:dyDescent="0.3">
      <c r="A29" s="11" t="s">
        <v>32</v>
      </c>
      <c r="B29" s="11">
        <v>45474</v>
      </c>
      <c r="C29" s="11" t="str">
        <f>VLOOKUP('Attendance Tracker'!A29, 'List 1'!A29:B85,2,)</f>
        <v>attendee28@company.com</v>
      </c>
      <c r="D29" t="str">
        <f>VLOOKUP(A29,'List 2'!A29:B78,2,)</f>
        <v>HR</v>
      </c>
      <c r="E29" s="13">
        <f t="shared" si="0"/>
        <v>5</v>
      </c>
      <c r="F29" s="13">
        <f>_xlfn.XLOOKUP(A29,'List 3'!A:A,'List 3'!F:F,)</f>
        <v>0</v>
      </c>
      <c r="G29" s="13">
        <f t="shared" si="1"/>
        <v>0</v>
      </c>
      <c r="H29" s="12">
        <f>VLOOKUP(D29,'List 2'!B:D,3,)</f>
        <v>80</v>
      </c>
      <c r="I29" s="13" t="str">
        <f>IF(Table1[[#This Row],[Attendance Percentage]]&gt;=Table1[[#This Row],[Minimum Attendance %]],"Yes","No")</f>
        <v>No</v>
      </c>
    </row>
    <row r="30" spans="1:9" x14ac:dyDescent="0.3">
      <c r="A30" s="11" t="s">
        <v>33</v>
      </c>
      <c r="B30" s="11">
        <v>45474</v>
      </c>
      <c r="C30" s="11" t="str">
        <f>VLOOKUP('Attendance Tracker'!A30, 'List 1'!A30:B86,2,)</f>
        <v>attendee29@company.com</v>
      </c>
      <c r="D30" t="str">
        <f>VLOOKUP(A30,'List 2'!A30:B79,2,)</f>
        <v>IT</v>
      </c>
      <c r="E30" s="13">
        <f t="shared" si="0"/>
        <v>5</v>
      </c>
      <c r="F30" s="13">
        <f>_xlfn.XLOOKUP(A30,'List 3'!A:A,'List 3'!F:F,)</f>
        <v>3</v>
      </c>
      <c r="G30" s="13">
        <f t="shared" si="1"/>
        <v>60</v>
      </c>
      <c r="H30" s="12">
        <f>VLOOKUP(D30,'List 2'!B:D,3,)</f>
        <v>40</v>
      </c>
      <c r="I30" s="13" t="str">
        <f>IF(Table1[[#This Row],[Attendance Percentage]]&gt;=Table1[[#This Row],[Minimum Attendance %]],"Yes","No")</f>
        <v>Yes</v>
      </c>
    </row>
    <row r="31" spans="1:9" x14ac:dyDescent="0.3">
      <c r="A31" s="11" t="s">
        <v>34</v>
      </c>
      <c r="B31" s="11">
        <v>45474</v>
      </c>
      <c r="C31" s="11" t="str">
        <f>VLOOKUP('Attendance Tracker'!A31, 'List 1'!A31:B87,2,)</f>
        <v>attendee30@company.com</v>
      </c>
      <c r="D31" t="str">
        <f>VLOOKUP(A31,'List 2'!A31:B80,2,)</f>
        <v>Finance</v>
      </c>
      <c r="E31" s="13">
        <f t="shared" si="0"/>
        <v>5</v>
      </c>
      <c r="F31" s="13">
        <f>_xlfn.XLOOKUP(A31,'List 3'!A:A,'List 3'!F:F,)</f>
        <v>4</v>
      </c>
      <c r="G31" s="13">
        <f t="shared" si="1"/>
        <v>80</v>
      </c>
      <c r="H31" s="12">
        <f>VLOOKUP(D31,'List 2'!B:D,3,)</f>
        <v>40</v>
      </c>
      <c r="I31" s="13" t="str">
        <f>IF(Table1[[#This Row],[Attendance Percentage]]&gt;=Table1[[#This Row],[Minimum Attendance %]],"Yes","No")</f>
        <v>Yes</v>
      </c>
    </row>
    <row r="32" spans="1:9" x14ac:dyDescent="0.3">
      <c r="A32" s="11" t="s">
        <v>35</v>
      </c>
      <c r="B32" s="11">
        <v>45474</v>
      </c>
      <c r="C32" s="11" t="str">
        <f>VLOOKUP('Attendance Tracker'!A32, 'List 1'!A32:B88,2,)</f>
        <v>attendee31@company.com</v>
      </c>
      <c r="D32" t="str">
        <f>VLOOKUP(A32,'List 2'!A32:B81,2,)</f>
        <v>Marketing</v>
      </c>
      <c r="E32" s="13">
        <f t="shared" si="0"/>
        <v>5</v>
      </c>
      <c r="F32" s="13">
        <f>_xlfn.XLOOKUP(A32,'List 3'!A:A,'List 3'!F:F,)</f>
        <v>2</v>
      </c>
      <c r="G32" s="13">
        <f t="shared" si="1"/>
        <v>40</v>
      </c>
      <c r="H32" s="12">
        <f>VLOOKUP(D32,'List 2'!B:D,3,)</f>
        <v>80</v>
      </c>
      <c r="I32" s="13" t="str">
        <f>IF(Table1[[#This Row],[Attendance Percentage]]&gt;=Table1[[#This Row],[Minimum Attendance %]],"Yes","No")</f>
        <v>No</v>
      </c>
    </row>
    <row r="33" spans="1:9" x14ac:dyDescent="0.3">
      <c r="A33" s="11" t="s">
        <v>36</v>
      </c>
      <c r="B33" s="11">
        <v>45474</v>
      </c>
      <c r="C33" s="11" t="str">
        <f>VLOOKUP('Attendance Tracker'!A33, 'List 1'!A33:B89,2,)</f>
        <v>attendee32@company.com</v>
      </c>
      <c r="D33" t="str">
        <f>VLOOKUP(A33,'List 2'!A33:B82,2,)</f>
        <v>Sales</v>
      </c>
      <c r="E33" s="13">
        <f t="shared" si="0"/>
        <v>5</v>
      </c>
      <c r="F33" s="13">
        <f>_xlfn.XLOOKUP(A33,'List 3'!A:A,'List 3'!F:F,)</f>
        <v>2</v>
      </c>
      <c r="G33" s="13">
        <f t="shared" si="1"/>
        <v>40</v>
      </c>
      <c r="H33" s="12">
        <f>VLOOKUP(D33,'List 2'!B:D,3,)</f>
        <v>80</v>
      </c>
      <c r="I33" s="13" t="str">
        <f>IF(Table1[[#This Row],[Attendance Percentage]]&gt;=Table1[[#This Row],[Minimum Attendance %]],"Yes","No")</f>
        <v>No</v>
      </c>
    </row>
    <row r="34" spans="1:9" x14ac:dyDescent="0.3">
      <c r="A34" s="11" t="s">
        <v>37</v>
      </c>
      <c r="B34" s="11">
        <v>45474</v>
      </c>
      <c r="C34" s="11" t="str">
        <f>VLOOKUP('Attendance Tracker'!A34, 'List 1'!A34:B90,2,)</f>
        <v>attendee33@company.com</v>
      </c>
      <c r="D34" t="str">
        <f>VLOOKUP(A34,'List 2'!A34:B83,2,)</f>
        <v>HR</v>
      </c>
      <c r="E34" s="13">
        <f t="shared" si="0"/>
        <v>5</v>
      </c>
      <c r="F34" s="13">
        <f>_xlfn.XLOOKUP(A34,'List 3'!A:A,'List 3'!F:F,)</f>
        <v>5</v>
      </c>
      <c r="G34" s="13">
        <f t="shared" si="1"/>
        <v>100</v>
      </c>
      <c r="H34" s="12">
        <f>VLOOKUP(D34,'List 2'!B:D,3,)</f>
        <v>80</v>
      </c>
      <c r="I34" s="13" t="str">
        <f>IF(Table1[[#This Row],[Attendance Percentage]]&gt;=Table1[[#This Row],[Minimum Attendance %]],"Yes","No")</f>
        <v>Yes</v>
      </c>
    </row>
    <row r="35" spans="1:9" x14ac:dyDescent="0.3">
      <c r="A35" s="11" t="s">
        <v>38</v>
      </c>
      <c r="B35" s="11">
        <v>45474</v>
      </c>
      <c r="C35" s="11" t="str">
        <f>VLOOKUP('Attendance Tracker'!A35, 'List 1'!A35:B91,2,)</f>
        <v>attendee34@company.com</v>
      </c>
      <c r="D35" t="str">
        <f>VLOOKUP(A35,'List 2'!A35:B84,2,)</f>
        <v>IT</v>
      </c>
      <c r="E35" s="13">
        <f t="shared" si="0"/>
        <v>5</v>
      </c>
      <c r="F35" s="13">
        <f>_xlfn.XLOOKUP(A35,'List 3'!A:A,'List 3'!F:F,)</f>
        <v>2</v>
      </c>
      <c r="G35" s="13">
        <f t="shared" si="1"/>
        <v>40</v>
      </c>
      <c r="H35" s="12">
        <f>VLOOKUP(D35,'List 2'!B:D,3,)</f>
        <v>40</v>
      </c>
      <c r="I35" s="13" t="str">
        <f>IF(Table1[[#This Row],[Attendance Percentage]]&gt;=Table1[[#This Row],[Minimum Attendance %]],"Yes","No")</f>
        <v>Yes</v>
      </c>
    </row>
    <row r="36" spans="1:9" x14ac:dyDescent="0.3">
      <c r="A36" s="11" t="s">
        <v>39</v>
      </c>
      <c r="B36" s="11">
        <v>45474</v>
      </c>
      <c r="C36" s="11" t="str">
        <f>VLOOKUP('Attendance Tracker'!A36, 'List 1'!A36:B92,2,)</f>
        <v>attendee35@company.com</v>
      </c>
      <c r="D36" t="str">
        <f>VLOOKUP(A36,'List 2'!A36:B85,2,)</f>
        <v>Finance</v>
      </c>
      <c r="E36" s="13">
        <f t="shared" si="0"/>
        <v>5</v>
      </c>
      <c r="F36" s="13">
        <f>_xlfn.XLOOKUP(A36,'List 3'!A:A,'List 3'!F:F,)</f>
        <v>3</v>
      </c>
      <c r="G36" s="13">
        <f t="shared" si="1"/>
        <v>60</v>
      </c>
      <c r="H36" s="12">
        <f>VLOOKUP(D36,'List 2'!B:D,3,)</f>
        <v>40</v>
      </c>
      <c r="I36" s="13" t="str">
        <f>IF(Table1[[#This Row],[Attendance Percentage]]&gt;=Table1[[#This Row],[Minimum Attendance %]],"Yes","No")</f>
        <v>Yes</v>
      </c>
    </row>
    <row r="37" spans="1:9" x14ac:dyDescent="0.3">
      <c r="A37" s="11" t="s">
        <v>40</v>
      </c>
      <c r="B37" s="11">
        <v>45474</v>
      </c>
      <c r="C37" s="11" t="str">
        <f>VLOOKUP('Attendance Tracker'!A37, 'List 1'!A37:B93,2,)</f>
        <v>attendee36@company.com</v>
      </c>
      <c r="D37" t="str">
        <f>VLOOKUP(A37,'List 2'!A37:B86,2,)</f>
        <v>Marketing</v>
      </c>
      <c r="E37" s="13">
        <f t="shared" si="0"/>
        <v>5</v>
      </c>
      <c r="F37" s="13">
        <f>_xlfn.XLOOKUP(A37,'List 3'!A:A,'List 3'!F:F,)</f>
        <v>3</v>
      </c>
      <c r="G37" s="13">
        <f t="shared" si="1"/>
        <v>60</v>
      </c>
      <c r="H37" s="12">
        <f>VLOOKUP(D37,'List 2'!B:D,3,)</f>
        <v>80</v>
      </c>
      <c r="I37" s="13" t="str">
        <f>IF(Table1[[#This Row],[Attendance Percentage]]&gt;=Table1[[#This Row],[Minimum Attendance %]],"Yes","No")</f>
        <v>No</v>
      </c>
    </row>
    <row r="38" spans="1:9" x14ac:dyDescent="0.3">
      <c r="A38" s="11" t="s">
        <v>41</v>
      </c>
      <c r="B38" s="11">
        <v>45474</v>
      </c>
      <c r="C38" s="11" t="str">
        <f>VLOOKUP('Attendance Tracker'!A38, 'List 1'!A38:B94,2,)</f>
        <v>attendee37@company.com</v>
      </c>
      <c r="D38" t="str">
        <f>VLOOKUP(A38,'List 2'!A38:B87,2,)</f>
        <v>Sales</v>
      </c>
      <c r="E38" s="13">
        <f t="shared" si="0"/>
        <v>5</v>
      </c>
      <c r="F38" s="13">
        <f>_xlfn.XLOOKUP(A38,'List 3'!A:A,'List 3'!F:F,)</f>
        <v>4</v>
      </c>
      <c r="G38" s="13">
        <f t="shared" si="1"/>
        <v>80</v>
      </c>
      <c r="H38" s="12">
        <f>VLOOKUP(D38,'List 2'!B:D,3,)</f>
        <v>80</v>
      </c>
      <c r="I38" s="13" t="str">
        <f>IF(Table1[[#This Row],[Attendance Percentage]]&gt;=Table1[[#This Row],[Minimum Attendance %]],"Yes","No")</f>
        <v>Yes</v>
      </c>
    </row>
    <row r="39" spans="1:9" x14ac:dyDescent="0.3">
      <c r="A39" s="11" t="s">
        <v>42</v>
      </c>
      <c r="B39" s="11">
        <v>45474</v>
      </c>
      <c r="C39" s="11" t="str">
        <f>VLOOKUP('Attendance Tracker'!A39, 'List 1'!A39:B95,2,)</f>
        <v>attendee38@company.com</v>
      </c>
      <c r="D39" t="str">
        <f>VLOOKUP(A39,'List 2'!A39:B88,2,)</f>
        <v>HR</v>
      </c>
      <c r="E39" s="13">
        <f t="shared" si="0"/>
        <v>5</v>
      </c>
      <c r="F39" s="13">
        <f>_xlfn.XLOOKUP(A39,'List 3'!A:A,'List 3'!F:F,)</f>
        <v>3</v>
      </c>
      <c r="G39" s="13">
        <f t="shared" si="1"/>
        <v>60</v>
      </c>
      <c r="H39" s="12">
        <f>VLOOKUP(D39,'List 2'!B:D,3,)</f>
        <v>80</v>
      </c>
      <c r="I39" s="13" t="str">
        <f>IF(Table1[[#This Row],[Attendance Percentage]]&gt;=Table1[[#This Row],[Minimum Attendance %]],"Yes","No")</f>
        <v>No</v>
      </c>
    </row>
    <row r="40" spans="1:9" x14ac:dyDescent="0.3">
      <c r="A40" s="11" t="s">
        <v>43</v>
      </c>
      <c r="B40" s="11">
        <v>45474</v>
      </c>
      <c r="C40" s="11" t="str">
        <f>VLOOKUP('Attendance Tracker'!A40, 'List 1'!A40:B96,2,)</f>
        <v>attendee39@company.com</v>
      </c>
      <c r="D40" t="str">
        <f>VLOOKUP(A40,'List 2'!A40:B89,2,)</f>
        <v>IT</v>
      </c>
      <c r="E40" s="13">
        <f t="shared" si="0"/>
        <v>5</v>
      </c>
      <c r="F40" s="13">
        <f>_xlfn.XLOOKUP(A40,'List 3'!A:A,'List 3'!F:F,)</f>
        <v>4</v>
      </c>
      <c r="G40" s="13">
        <f t="shared" si="1"/>
        <v>80</v>
      </c>
      <c r="H40" s="12">
        <f>VLOOKUP(D40,'List 2'!B:D,3,)</f>
        <v>40</v>
      </c>
      <c r="I40" s="13" t="str">
        <f>IF(Table1[[#This Row],[Attendance Percentage]]&gt;=Table1[[#This Row],[Minimum Attendance %]],"Yes","No")</f>
        <v>Yes</v>
      </c>
    </row>
    <row r="41" spans="1:9" x14ac:dyDescent="0.3">
      <c r="A41" s="11" t="s">
        <v>44</v>
      </c>
      <c r="B41" s="11">
        <v>45474</v>
      </c>
      <c r="C41" s="11" t="str">
        <f>VLOOKUP('Attendance Tracker'!A41, 'List 1'!A41:B97,2,)</f>
        <v>attendee40@company.com</v>
      </c>
      <c r="D41" t="str">
        <f>VLOOKUP(A41,'List 2'!A41:B90,2,)</f>
        <v>Finance</v>
      </c>
      <c r="E41" s="13">
        <f t="shared" si="0"/>
        <v>5</v>
      </c>
      <c r="F41" s="13">
        <f>_xlfn.XLOOKUP(A41,'List 3'!A:A,'List 3'!F:F,)</f>
        <v>1</v>
      </c>
      <c r="G41" s="13">
        <f t="shared" si="1"/>
        <v>20</v>
      </c>
      <c r="H41" s="12">
        <f>VLOOKUP(D41,'List 2'!B:D,3,)</f>
        <v>40</v>
      </c>
      <c r="I41" s="13" t="str">
        <f>IF(Table1[[#This Row],[Attendance Percentage]]&gt;=Table1[[#This Row],[Minimum Attendance %]],"Yes","No")</f>
        <v>No</v>
      </c>
    </row>
    <row r="42" spans="1:9" x14ac:dyDescent="0.3">
      <c r="A42" s="11" t="s">
        <v>45</v>
      </c>
      <c r="B42" s="11">
        <v>45474</v>
      </c>
      <c r="C42" s="11" t="str">
        <f>VLOOKUP('Attendance Tracker'!A42, 'List 1'!A42:B98,2,)</f>
        <v>attendee41@company.com</v>
      </c>
      <c r="D42" t="str">
        <f>VLOOKUP(A42,'List 2'!A42:B91,2,)</f>
        <v>Marketing</v>
      </c>
      <c r="E42" s="13">
        <f t="shared" si="0"/>
        <v>5</v>
      </c>
      <c r="F42" s="13">
        <f>_xlfn.XLOOKUP(A42,'List 3'!A:A,'List 3'!F:F,)</f>
        <v>4</v>
      </c>
      <c r="G42" s="13">
        <f t="shared" si="1"/>
        <v>80</v>
      </c>
      <c r="H42" s="12">
        <f>VLOOKUP(D42,'List 2'!B:D,3,)</f>
        <v>80</v>
      </c>
      <c r="I42" s="13" t="str">
        <f>IF(Table1[[#This Row],[Attendance Percentage]]&gt;=Table1[[#This Row],[Minimum Attendance %]],"Yes","No")</f>
        <v>Yes</v>
      </c>
    </row>
    <row r="43" spans="1:9" x14ac:dyDescent="0.3">
      <c r="A43" s="11" t="s">
        <v>46</v>
      </c>
      <c r="B43" s="11">
        <v>45474</v>
      </c>
      <c r="C43" s="11" t="str">
        <f>VLOOKUP('Attendance Tracker'!A43, 'List 1'!A43:B99,2,)</f>
        <v>attendee42@company.com</v>
      </c>
      <c r="D43" t="str">
        <f>VLOOKUP(A43,'List 2'!A43:B92,2,)</f>
        <v>Sales</v>
      </c>
      <c r="E43" s="13">
        <f t="shared" si="0"/>
        <v>5</v>
      </c>
      <c r="F43" s="13">
        <f>_xlfn.XLOOKUP(A43,'List 3'!A:A,'List 3'!F:F,)</f>
        <v>1</v>
      </c>
      <c r="G43" s="13">
        <f t="shared" si="1"/>
        <v>20</v>
      </c>
      <c r="H43" s="12">
        <f>VLOOKUP(D43,'List 2'!B:D,3,)</f>
        <v>80</v>
      </c>
      <c r="I43" s="13" t="str">
        <f>IF(Table1[[#This Row],[Attendance Percentage]]&gt;=Table1[[#This Row],[Minimum Attendance %]],"Yes","No")</f>
        <v>No</v>
      </c>
    </row>
    <row r="44" spans="1:9" x14ac:dyDescent="0.3">
      <c r="A44" s="11" t="s">
        <v>47</v>
      </c>
      <c r="B44" s="11">
        <v>45474</v>
      </c>
      <c r="C44" s="11" t="str">
        <f>VLOOKUP('Attendance Tracker'!A44, 'List 1'!A44:B100,2,)</f>
        <v>attendee43@company.com</v>
      </c>
      <c r="D44" t="str">
        <f>VLOOKUP(A44,'List 2'!A44:B93,2,)</f>
        <v>HR</v>
      </c>
      <c r="E44" s="13">
        <f t="shared" si="0"/>
        <v>5</v>
      </c>
      <c r="F44" s="13">
        <f>_xlfn.XLOOKUP(A44,'List 3'!A:A,'List 3'!F:F,)</f>
        <v>2</v>
      </c>
      <c r="G44" s="13">
        <f t="shared" si="1"/>
        <v>40</v>
      </c>
      <c r="H44" s="12">
        <f>VLOOKUP(D44,'List 2'!B:D,3,)</f>
        <v>80</v>
      </c>
      <c r="I44" s="13" t="str">
        <f>IF(Table1[[#This Row],[Attendance Percentage]]&gt;=Table1[[#This Row],[Minimum Attendance %]],"Yes","No")</f>
        <v>No</v>
      </c>
    </row>
    <row r="45" spans="1:9" x14ac:dyDescent="0.3">
      <c r="A45" s="11" t="s">
        <v>48</v>
      </c>
      <c r="B45" s="11">
        <v>45474</v>
      </c>
      <c r="C45" s="11" t="str">
        <f>VLOOKUP('Attendance Tracker'!A45, 'List 1'!A45:B101,2,)</f>
        <v>attendee44@company.com</v>
      </c>
      <c r="D45" t="str">
        <f>VLOOKUP(A45,'List 2'!A45:B94,2,)</f>
        <v>IT</v>
      </c>
      <c r="E45" s="13">
        <f t="shared" si="0"/>
        <v>5</v>
      </c>
      <c r="F45" s="13">
        <f>_xlfn.XLOOKUP(A45,'List 3'!A:A,'List 3'!F:F,)</f>
        <v>2</v>
      </c>
      <c r="G45" s="13">
        <f t="shared" si="1"/>
        <v>40</v>
      </c>
      <c r="H45" s="12">
        <f>VLOOKUP(D45,'List 2'!B:D,3,)</f>
        <v>40</v>
      </c>
      <c r="I45" s="13" t="str">
        <f>IF(Table1[[#This Row],[Attendance Percentage]]&gt;=Table1[[#This Row],[Minimum Attendance %]],"Yes","No")</f>
        <v>Yes</v>
      </c>
    </row>
    <row r="46" spans="1:9" x14ac:dyDescent="0.3">
      <c r="A46" s="11" t="s">
        <v>49</v>
      </c>
      <c r="B46" s="11">
        <v>45474</v>
      </c>
      <c r="C46" s="11" t="str">
        <f>VLOOKUP('Attendance Tracker'!A46, 'List 1'!A46:B102,2,)</f>
        <v>attendee45@company.com</v>
      </c>
      <c r="D46" t="str">
        <f>VLOOKUP(A46,'List 2'!A46:B95,2,)</f>
        <v>Finance</v>
      </c>
      <c r="E46" s="13">
        <f t="shared" si="0"/>
        <v>5</v>
      </c>
      <c r="F46" s="13">
        <f>_xlfn.XLOOKUP(A46,'List 3'!A:A,'List 3'!F:F,)</f>
        <v>3</v>
      </c>
      <c r="G46" s="13">
        <f t="shared" si="1"/>
        <v>60</v>
      </c>
      <c r="H46" s="12">
        <f>VLOOKUP(D46,'List 2'!B:D,3,)</f>
        <v>40</v>
      </c>
      <c r="I46" s="13" t="str">
        <f>IF(Table1[[#This Row],[Attendance Percentage]]&gt;=Table1[[#This Row],[Minimum Attendance %]],"Yes","No")</f>
        <v>Yes</v>
      </c>
    </row>
    <row r="47" spans="1:9" x14ac:dyDescent="0.3">
      <c r="A47" s="11" t="s">
        <v>50</v>
      </c>
      <c r="B47" s="11">
        <v>45474</v>
      </c>
      <c r="C47" s="11" t="str">
        <f>VLOOKUP('Attendance Tracker'!A47, 'List 1'!A47:B103,2,)</f>
        <v>attendee46@company.com</v>
      </c>
      <c r="D47" t="str">
        <f>VLOOKUP(A47,'List 2'!A47:B96,2,)</f>
        <v>Marketing</v>
      </c>
      <c r="E47" s="13">
        <f t="shared" si="0"/>
        <v>5</v>
      </c>
      <c r="F47" s="13">
        <f>_xlfn.XLOOKUP(A47,'List 3'!A:A,'List 3'!F:F,)</f>
        <v>2</v>
      </c>
      <c r="G47" s="13">
        <f t="shared" si="1"/>
        <v>40</v>
      </c>
      <c r="H47" s="12">
        <f>VLOOKUP(D47,'List 2'!B:D,3,)</f>
        <v>80</v>
      </c>
      <c r="I47" s="13" t="str">
        <f>IF(Table1[[#This Row],[Attendance Percentage]]&gt;=Table1[[#This Row],[Minimum Attendance %]],"Yes","No")</f>
        <v>No</v>
      </c>
    </row>
    <row r="48" spans="1:9" x14ac:dyDescent="0.3">
      <c r="A48" s="11" t="s">
        <v>51</v>
      </c>
      <c r="B48" s="11">
        <v>45474</v>
      </c>
      <c r="C48" s="11" t="str">
        <f>VLOOKUP('Attendance Tracker'!A48, 'List 1'!A48:B104,2,)</f>
        <v>attendee47@company.com</v>
      </c>
      <c r="D48" t="str">
        <f>VLOOKUP(A48,'List 2'!A48:B97,2,)</f>
        <v>Sales</v>
      </c>
      <c r="E48" s="13">
        <f t="shared" si="0"/>
        <v>5</v>
      </c>
      <c r="F48" s="13">
        <f>_xlfn.XLOOKUP(A48,'List 3'!A:A,'List 3'!F:F,)</f>
        <v>4</v>
      </c>
      <c r="G48" s="13">
        <f t="shared" si="1"/>
        <v>80</v>
      </c>
      <c r="H48" s="12">
        <f>VLOOKUP(D48,'List 2'!B:D,3,)</f>
        <v>80</v>
      </c>
      <c r="I48" s="13" t="str">
        <f>IF(Table1[[#This Row],[Attendance Percentage]]&gt;=Table1[[#This Row],[Minimum Attendance %]],"Yes","No")</f>
        <v>Yes</v>
      </c>
    </row>
    <row r="49" spans="1:9" x14ac:dyDescent="0.3">
      <c r="A49" s="11" t="s">
        <v>52</v>
      </c>
      <c r="B49" s="11">
        <v>45474</v>
      </c>
      <c r="C49" s="11" t="str">
        <f>VLOOKUP('Attendance Tracker'!A49, 'List 1'!A49:B105,2,)</f>
        <v>attendee48@company.com</v>
      </c>
      <c r="D49" t="str">
        <f>VLOOKUP(A49,'List 2'!A49:B98,2,)</f>
        <v>HR</v>
      </c>
      <c r="E49" s="13">
        <f t="shared" si="0"/>
        <v>5</v>
      </c>
      <c r="F49" s="13">
        <f>_xlfn.XLOOKUP(A49,'List 3'!A:A,'List 3'!F:F,)</f>
        <v>0</v>
      </c>
      <c r="G49" s="13">
        <f t="shared" si="1"/>
        <v>0</v>
      </c>
      <c r="H49" s="12">
        <f>VLOOKUP(D49,'List 2'!B:D,3,)</f>
        <v>80</v>
      </c>
      <c r="I49" s="13" t="str">
        <f>IF(Table1[[#This Row],[Attendance Percentage]]&gt;=Table1[[#This Row],[Minimum Attendance %]],"Yes","No")</f>
        <v>No</v>
      </c>
    </row>
    <row r="50" spans="1:9" x14ac:dyDescent="0.3">
      <c r="A50" s="11" t="s">
        <v>53</v>
      </c>
      <c r="B50" s="11">
        <v>45474</v>
      </c>
      <c r="C50" s="11" t="str">
        <f>VLOOKUP('Attendance Tracker'!A50, 'List 1'!A50:B106,2,)</f>
        <v>attendee49@company.com</v>
      </c>
      <c r="D50" t="str">
        <f>VLOOKUP(A50,'List 2'!A50:B99,2,)</f>
        <v>IT</v>
      </c>
      <c r="E50" s="13">
        <f t="shared" si="0"/>
        <v>5</v>
      </c>
      <c r="F50" s="13">
        <f>_xlfn.XLOOKUP(A50,'List 3'!A:A,'List 3'!F:F,)</f>
        <v>2</v>
      </c>
      <c r="G50" s="13">
        <f t="shared" si="1"/>
        <v>40</v>
      </c>
      <c r="H50" s="12">
        <f>VLOOKUP(D50,'List 2'!B:D,3,)</f>
        <v>40</v>
      </c>
      <c r="I50" s="13" t="str">
        <f>IF(Table1[[#This Row],[Attendance Percentage]]&gt;=Table1[[#This Row],[Minimum Attendance %]],"Yes","No")</f>
        <v>Yes</v>
      </c>
    </row>
    <row r="51" spans="1:9" x14ac:dyDescent="0.3">
      <c r="A51" s="11" t="s">
        <v>54</v>
      </c>
      <c r="B51" s="11">
        <v>45474</v>
      </c>
      <c r="C51" s="11" t="str">
        <f>VLOOKUP('Attendance Tracker'!A51, 'List 1'!A51:B107,2,)</f>
        <v>attendee50@company.com</v>
      </c>
      <c r="D51" t="str">
        <f>VLOOKUP(A51,'List 2'!A51:B100,2,)</f>
        <v>Finance</v>
      </c>
      <c r="E51" s="13">
        <f t="shared" si="0"/>
        <v>5</v>
      </c>
      <c r="F51" s="13">
        <f>_xlfn.XLOOKUP(A51,'List 3'!A:A,'List 3'!F:F,)</f>
        <v>1</v>
      </c>
      <c r="G51" s="13">
        <f t="shared" si="1"/>
        <v>20</v>
      </c>
      <c r="H51" s="12">
        <f>VLOOKUP(D51,'List 2'!B:D,3,)</f>
        <v>40</v>
      </c>
      <c r="I51" s="13" t="str">
        <f>IF(Table1[[#This Row],[Attendance Percentage]]&gt;=Table1[[#This Row],[Minimum Attendance %]],"Yes","No")</f>
        <v>No</v>
      </c>
    </row>
  </sheetData>
  <conditionalFormatting sqref="A59:A1048576 A1:A51">
    <cfRule type="duplicateValues" dxfId="22" priority="13"/>
  </conditionalFormatting>
  <conditionalFormatting sqref="D1:D1048576">
    <cfRule type="containsText" dxfId="21" priority="7" operator="containsText" text="Sales">
      <formula>NOT(ISERROR(SEARCH("Sales",D1)))</formula>
    </cfRule>
    <cfRule type="containsText" dxfId="20" priority="8" operator="containsText" text="Marketing">
      <formula>NOT(ISERROR(SEARCH("Marketing",D1)))</formula>
    </cfRule>
    <cfRule type="containsText" dxfId="19" priority="9" operator="containsText" text="HR">
      <formula>NOT(ISERROR(SEARCH("HR",D1)))</formula>
    </cfRule>
    <cfRule type="containsText" dxfId="18" priority="10" operator="containsText" text="IT">
      <formula>NOT(ISERROR(SEARCH("IT",D1)))</formula>
    </cfRule>
    <cfRule type="containsText" dxfId="17" priority="11" operator="containsText" text="Finance">
      <formula>NOT(ISERROR(SEARCH("Finance",D1)))</formula>
    </cfRule>
  </conditionalFormatting>
  <conditionalFormatting sqref="F1:F1048576 G1:I1">
    <cfRule type="dataBar" priority="14">
      <dataBar>
        <cfvo type="min"/>
        <cfvo type="max"/>
        <color theme="4" tint="0.39997558519241921"/>
      </dataBar>
      <extLst>
        <ext xmlns:x14="http://schemas.microsoft.com/office/spreadsheetml/2009/9/main" uri="{B025F937-C7B1-47D3-B67F-A62EFF666E3E}">
          <x14:id>{A2A9C8DD-2007-428C-A81A-C7735693FC9B}</x14:id>
        </ext>
      </extLst>
    </cfRule>
  </conditionalFormatting>
  <conditionalFormatting sqref="G1:G1048576">
    <cfRule type="cellIs" dxfId="16" priority="3" operator="equal">
      <formula>100</formula>
    </cfRule>
  </conditionalFormatting>
  <conditionalFormatting sqref="G2:G51">
    <cfRule type="colorScale" priority="4">
      <colorScale>
        <cfvo type="min"/>
        <cfvo type="percentile" val="50"/>
        <cfvo type="max"/>
        <color theme="5"/>
        <color rgb="FFFFEB84"/>
        <color rgb="FF00B050"/>
      </colorScale>
    </cfRule>
  </conditionalFormatting>
  <conditionalFormatting sqref="I1:I1048576">
    <cfRule type="containsText" dxfId="15" priority="1" operator="containsText" text="No">
      <formula>NOT(ISERROR(SEARCH("No",I1)))</formula>
    </cfRule>
    <cfRule type="containsText" dxfId="14" priority="2" operator="containsText" text="Yes">
      <formula>NOT(ISERROR(SEARCH("Yes",I1)))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A9C8DD-2007-428C-A81A-C7735693FC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F1:F1048576 G1:I1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AB601-3E0D-49A3-8F73-4EC011B1E182}">
  <dimension ref="A1:E35"/>
  <sheetViews>
    <sheetView workbookViewId="0">
      <selection activeCell="H15" sqref="H15"/>
    </sheetView>
  </sheetViews>
  <sheetFormatPr defaultRowHeight="14.4" x14ac:dyDescent="0.3"/>
  <cols>
    <col min="1" max="1" width="16.6640625" bestFit="1" customWidth="1"/>
    <col min="2" max="2" width="29.5546875" bestFit="1" customWidth="1"/>
    <col min="4" max="4" width="16.6640625" bestFit="1" customWidth="1"/>
    <col min="5" max="5" width="6.33203125" bestFit="1" customWidth="1"/>
    <col min="6" max="6" width="6.109375" bestFit="1" customWidth="1"/>
  </cols>
  <sheetData>
    <row r="1" spans="1:5" x14ac:dyDescent="0.3">
      <c r="A1" s="18" t="s">
        <v>106</v>
      </c>
      <c r="B1" t="s">
        <v>142</v>
      </c>
      <c r="D1" s="22" t="s">
        <v>145</v>
      </c>
      <c r="E1" s="22" t="s">
        <v>139</v>
      </c>
    </row>
    <row r="2" spans="1:5" x14ac:dyDescent="0.3">
      <c r="A2" s="19" t="s">
        <v>117</v>
      </c>
      <c r="B2">
        <v>48</v>
      </c>
      <c r="D2" s="22" t="s">
        <v>128</v>
      </c>
      <c r="E2" s="22" t="s">
        <v>122</v>
      </c>
    </row>
    <row r="3" spans="1:5" x14ac:dyDescent="0.3">
      <c r="A3" s="19" t="s">
        <v>113</v>
      </c>
      <c r="B3">
        <v>48</v>
      </c>
      <c r="D3" s="22" t="s">
        <v>144</v>
      </c>
      <c r="E3" s="22" t="s">
        <v>139</v>
      </c>
    </row>
    <row r="4" spans="1:5" x14ac:dyDescent="0.3">
      <c r="A4" s="19" t="s">
        <v>115</v>
      </c>
      <c r="B4">
        <v>54</v>
      </c>
      <c r="D4" s="21"/>
      <c r="E4" s="21"/>
    </row>
    <row r="5" spans="1:5" x14ac:dyDescent="0.3">
      <c r="A5" s="19" t="s">
        <v>108</v>
      </c>
      <c r="B5">
        <v>52</v>
      </c>
      <c r="D5" s="22" t="s">
        <v>143</v>
      </c>
      <c r="E5" s="21"/>
    </row>
    <row r="6" spans="1:5" x14ac:dyDescent="0.3">
      <c r="A6" s="19" t="s">
        <v>111</v>
      </c>
      <c r="B6">
        <v>52</v>
      </c>
      <c r="D6" s="22" t="s">
        <v>14</v>
      </c>
      <c r="E6" s="21"/>
    </row>
    <row r="7" spans="1:5" x14ac:dyDescent="0.3">
      <c r="A7" s="19" t="s">
        <v>137</v>
      </c>
      <c r="B7">
        <v>50.8</v>
      </c>
      <c r="D7" s="22" t="s">
        <v>18</v>
      </c>
      <c r="E7" s="21"/>
    </row>
    <row r="8" spans="1:5" x14ac:dyDescent="0.3">
      <c r="D8" s="22" t="s">
        <v>19</v>
      </c>
      <c r="E8" s="21"/>
    </row>
    <row r="9" spans="1:5" x14ac:dyDescent="0.3">
      <c r="D9" s="22" t="s">
        <v>23</v>
      </c>
      <c r="E9" s="21"/>
    </row>
    <row r="10" spans="1:5" x14ac:dyDescent="0.3">
      <c r="D10" s="22" t="s">
        <v>24</v>
      </c>
      <c r="E10" s="21"/>
    </row>
    <row r="11" spans="1:5" x14ac:dyDescent="0.3">
      <c r="D11" s="22" t="s">
        <v>28</v>
      </c>
      <c r="E11" s="21"/>
    </row>
    <row r="12" spans="1:5" x14ac:dyDescent="0.3">
      <c r="D12" s="22" t="s">
        <v>29</v>
      </c>
      <c r="E12" s="21"/>
    </row>
    <row r="13" spans="1:5" x14ac:dyDescent="0.3">
      <c r="D13" s="22" t="s">
        <v>31</v>
      </c>
      <c r="E13" s="21"/>
    </row>
    <row r="14" spans="1:5" x14ac:dyDescent="0.3">
      <c r="D14" s="22" t="s">
        <v>33</v>
      </c>
      <c r="E14" s="21"/>
    </row>
    <row r="15" spans="1:5" x14ac:dyDescent="0.3">
      <c r="D15" s="22" t="s">
        <v>34</v>
      </c>
      <c r="E15" s="21"/>
    </row>
    <row r="16" spans="1:5" x14ac:dyDescent="0.3">
      <c r="D16" s="22" t="s">
        <v>37</v>
      </c>
      <c r="E16" s="21"/>
    </row>
    <row r="17" spans="4:5" x14ac:dyDescent="0.3">
      <c r="D17" s="22" t="s">
        <v>38</v>
      </c>
      <c r="E17" s="21"/>
    </row>
    <row r="18" spans="4:5" x14ac:dyDescent="0.3">
      <c r="D18" s="22" t="s">
        <v>39</v>
      </c>
      <c r="E18" s="21"/>
    </row>
    <row r="19" spans="4:5" x14ac:dyDescent="0.3">
      <c r="D19" s="22" t="s">
        <v>41</v>
      </c>
      <c r="E19" s="21"/>
    </row>
    <row r="20" spans="4:5" x14ac:dyDescent="0.3">
      <c r="D20" s="22" t="s">
        <v>43</v>
      </c>
      <c r="E20" s="21"/>
    </row>
    <row r="21" spans="4:5" x14ac:dyDescent="0.3">
      <c r="D21" s="22" t="s">
        <v>8</v>
      </c>
      <c r="E21" s="21"/>
    </row>
    <row r="22" spans="4:5" x14ac:dyDescent="0.3">
      <c r="D22" s="22" t="s">
        <v>45</v>
      </c>
      <c r="E22" s="21"/>
    </row>
    <row r="23" spans="4:5" x14ac:dyDescent="0.3">
      <c r="D23" s="22" t="s">
        <v>48</v>
      </c>
      <c r="E23" s="21"/>
    </row>
    <row r="24" spans="4:5" x14ac:dyDescent="0.3">
      <c r="D24" s="22" t="s">
        <v>49</v>
      </c>
      <c r="E24" s="21"/>
    </row>
    <row r="25" spans="4:5" x14ac:dyDescent="0.3">
      <c r="D25" s="22" t="s">
        <v>51</v>
      </c>
      <c r="E25" s="21"/>
    </row>
    <row r="26" spans="4:5" x14ac:dyDescent="0.3">
      <c r="D26" s="22" t="s">
        <v>53</v>
      </c>
      <c r="E26" s="21"/>
    </row>
    <row r="27" spans="4:5" x14ac:dyDescent="0.3">
      <c r="D27" s="22" t="s">
        <v>9</v>
      </c>
      <c r="E27" s="21"/>
    </row>
    <row r="28" spans="4:5" x14ac:dyDescent="0.3">
      <c r="D28" s="22" t="s">
        <v>11</v>
      </c>
      <c r="E28" s="21"/>
    </row>
    <row r="29" spans="4:5" x14ac:dyDescent="0.3">
      <c r="D29" s="22" t="s">
        <v>13</v>
      </c>
      <c r="E29" s="21"/>
    </row>
    <row r="30" spans="4:5" x14ac:dyDescent="0.3">
      <c r="D30" s="22" t="s">
        <v>137</v>
      </c>
      <c r="E30" s="21"/>
    </row>
    <row r="31" spans="4:5" x14ac:dyDescent="0.3">
      <c r="D31" s="21"/>
      <c r="E31" s="21"/>
    </row>
    <row r="32" spans="4:5" x14ac:dyDescent="0.3">
      <c r="D32" s="21"/>
      <c r="E32" s="21"/>
    </row>
    <row r="33" spans="4:5" x14ac:dyDescent="0.3">
      <c r="D33" s="21"/>
      <c r="E33" s="21"/>
    </row>
    <row r="34" spans="4:5" x14ac:dyDescent="0.3">
      <c r="D34" s="21"/>
      <c r="E34" s="21"/>
    </row>
    <row r="35" spans="4:5" x14ac:dyDescent="0.3">
      <c r="D35" s="21"/>
      <c r="E35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AA64-5D30-44AA-877F-DB0FCDDC72C8}">
  <dimension ref="A1:B12"/>
  <sheetViews>
    <sheetView workbookViewId="0">
      <selection activeCell="N7" sqref="N7"/>
    </sheetView>
  </sheetViews>
  <sheetFormatPr defaultRowHeight="14.4" x14ac:dyDescent="0.3"/>
  <cols>
    <col min="1" max="1" width="12.44140625" bestFit="1" customWidth="1"/>
    <col min="2" max="2" width="15.88671875" bestFit="1" customWidth="1"/>
    <col min="3" max="3" width="16.88671875" bestFit="1" customWidth="1"/>
    <col min="4" max="4" width="10.5546875" bestFit="1" customWidth="1"/>
  </cols>
  <sheetData>
    <row r="1" spans="1:2" x14ac:dyDescent="0.3">
      <c r="A1" s="18" t="s">
        <v>121</v>
      </c>
      <c r="B1" t="s">
        <v>122</v>
      </c>
    </row>
    <row r="3" spans="1:2" x14ac:dyDescent="0.3">
      <c r="A3" s="18" t="s">
        <v>131</v>
      </c>
      <c r="B3" t="s">
        <v>138</v>
      </c>
    </row>
    <row r="4" spans="1:2" x14ac:dyDescent="0.3">
      <c r="A4" s="19" t="s">
        <v>132</v>
      </c>
      <c r="B4">
        <v>25</v>
      </c>
    </row>
    <row r="5" spans="1:2" x14ac:dyDescent="0.3">
      <c r="A5" s="19" t="s">
        <v>133</v>
      </c>
      <c r="B5">
        <v>25</v>
      </c>
    </row>
    <row r="6" spans="1:2" x14ac:dyDescent="0.3">
      <c r="A6" s="19" t="s">
        <v>134</v>
      </c>
      <c r="B6">
        <v>24</v>
      </c>
    </row>
    <row r="7" spans="1:2" x14ac:dyDescent="0.3">
      <c r="A7" s="19" t="s">
        <v>135</v>
      </c>
      <c r="B7">
        <v>30</v>
      </c>
    </row>
    <row r="8" spans="1:2" x14ac:dyDescent="0.3">
      <c r="A8" s="19" t="s">
        <v>136</v>
      </c>
      <c r="B8">
        <v>23</v>
      </c>
    </row>
    <row r="9" spans="1:2" x14ac:dyDescent="0.3">
      <c r="A9" s="19" t="s">
        <v>137</v>
      </c>
      <c r="B9">
        <v>127</v>
      </c>
    </row>
    <row r="11" spans="1:2" x14ac:dyDescent="0.3">
      <c r="A11" s="20" t="s">
        <v>140</v>
      </c>
      <c r="B11" s="21" t="str">
        <f>INDEX(A4:A8, MATCH(MAX(B4:B8), B4:B8, 0))</f>
        <v>Thursday</v>
      </c>
    </row>
    <row r="12" spans="1:2" x14ac:dyDescent="0.3">
      <c r="A12" s="20" t="s">
        <v>141</v>
      </c>
      <c r="B12" s="21" t="str">
        <f>INDEX(A4:A8, MATCH(MIN(B4:B8), B4:B8, 0))</f>
        <v>Friday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46793-6BB0-4E92-921A-FB8C29F417DE}">
  <dimension ref="A1:B1007"/>
  <sheetViews>
    <sheetView workbookViewId="0">
      <selection activeCell="H14" sqref="H14"/>
    </sheetView>
  </sheetViews>
  <sheetFormatPr defaultColWidth="14.44140625" defaultRowHeight="14.4" x14ac:dyDescent="0.3"/>
  <cols>
    <col min="1" max="1" width="13.6640625" customWidth="1"/>
    <col min="2" max="2" width="27.109375" customWidth="1"/>
    <col min="3" max="26" width="8.88671875" customWidth="1"/>
  </cols>
  <sheetData>
    <row r="1" spans="1:2" x14ac:dyDescent="0.3">
      <c r="A1" s="3" t="s">
        <v>0</v>
      </c>
      <c r="B1" s="3" t="s">
        <v>55</v>
      </c>
    </row>
    <row r="2" spans="1:2" x14ac:dyDescent="0.3">
      <c r="A2" s="2" t="s">
        <v>5</v>
      </c>
      <c r="B2" s="2" t="s">
        <v>56</v>
      </c>
    </row>
    <row r="3" spans="1:2" x14ac:dyDescent="0.3">
      <c r="A3" s="2" t="s">
        <v>6</v>
      </c>
      <c r="B3" s="2" t="s">
        <v>57</v>
      </c>
    </row>
    <row r="4" spans="1:2" x14ac:dyDescent="0.3">
      <c r="A4" s="2" t="s">
        <v>7</v>
      </c>
      <c r="B4" s="2" t="s">
        <v>58</v>
      </c>
    </row>
    <row r="5" spans="1:2" x14ac:dyDescent="0.3">
      <c r="A5" s="2" t="s">
        <v>8</v>
      </c>
      <c r="B5" s="2" t="s">
        <v>59</v>
      </c>
    </row>
    <row r="6" spans="1:2" x14ac:dyDescent="0.3">
      <c r="A6" s="2" t="s">
        <v>9</v>
      </c>
      <c r="B6" s="2" t="s">
        <v>60</v>
      </c>
    </row>
    <row r="7" spans="1:2" x14ac:dyDescent="0.3">
      <c r="A7" s="2" t="s">
        <v>10</v>
      </c>
      <c r="B7" s="2" t="s">
        <v>61</v>
      </c>
    </row>
    <row r="8" spans="1:2" x14ac:dyDescent="0.3">
      <c r="A8" s="2" t="s">
        <v>11</v>
      </c>
      <c r="B8" s="2" t="s">
        <v>62</v>
      </c>
    </row>
    <row r="9" spans="1:2" x14ac:dyDescent="0.3">
      <c r="A9" s="2" t="s">
        <v>12</v>
      </c>
      <c r="B9" s="2" t="s">
        <v>63</v>
      </c>
    </row>
    <row r="10" spans="1:2" x14ac:dyDescent="0.3">
      <c r="A10" s="2" t="s">
        <v>13</v>
      </c>
      <c r="B10" s="2" t="s">
        <v>64</v>
      </c>
    </row>
    <row r="11" spans="1:2" x14ac:dyDescent="0.3">
      <c r="A11" s="2" t="s">
        <v>14</v>
      </c>
      <c r="B11" s="2" t="s">
        <v>65</v>
      </c>
    </row>
    <row r="12" spans="1:2" x14ac:dyDescent="0.3">
      <c r="A12" s="2" t="s">
        <v>15</v>
      </c>
      <c r="B12" s="2" t="s">
        <v>66</v>
      </c>
    </row>
    <row r="13" spans="1:2" x14ac:dyDescent="0.3">
      <c r="A13" s="2" t="s">
        <v>16</v>
      </c>
      <c r="B13" s="2" t="s">
        <v>67</v>
      </c>
    </row>
    <row r="14" spans="1:2" x14ac:dyDescent="0.3">
      <c r="A14" s="2" t="s">
        <v>17</v>
      </c>
      <c r="B14" s="2" t="s">
        <v>68</v>
      </c>
    </row>
    <row r="15" spans="1:2" x14ac:dyDescent="0.3">
      <c r="A15" s="2" t="s">
        <v>18</v>
      </c>
      <c r="B15" s="2" t="s">
        <v>69</v>
      </c>
    </row>
    <row r="16" spans="1:2" x14ac:dyDescent="0.3">
      <c r="A16" s="2" t="s">
        <v>19</v>
      </c>
      <c r="B16" s="2" t="s">
        <v>70</v>
      </c>
    </row>
    <row r="17" spans="1:2" x14ac:dyDescent="0.3">
      <c r="A17" s="2" t="s">
        <v>20</v>
      </c>
      <c r="B17" s="2" t="s">
        <v>71</v>
      </c>
    </row>
    <row r="18" spans="1:2" x14ac:dyDescent="0.3">
      <c r="A18" s="2" t="s">
        <v>21</v>
      </c>
      <c r="B18" s="2" t="s">
        <v>72</v>
      </c>
    </row>
    <row r="19" spans="1:2" x14ac:dyDescent="0.3">
      <c r="A19" s="2" t="s">
        <v>22</v>
      </c>
      <c r="B19" s="2" t="s">
        <v>73</v>
      </c>
    </row>
    <row r="20" spans="1:2" x14ac:dyDescent="0.3">
      <c r="A20" s="2" t="s">
        <v>23</v>
      </c>
      <c r="B20" s="2" t="s">
        <v>74</v>
      </c>
    </row>
    <row r="21" spans="1:2" ht="15.75" customHeight="1" x14ac:dyDescent="0.3">
      <c r="A21" s="2" t="s">
        <v>24</v>
      </c>
      <c r="B21" s="2" t="s">
        <v>75</v>
      </c>
    </row>
    <row r="22" spans="1:2" x14ac:dyDescent="0.3">
      <c r="A22" s="2" t="s">
        <v>11</v>
      </c>
      <c r="B22" s="2" t="s">
        <v>62</v>
      </c>
    </row>
    <row r="23" spans="1:2" x14ac:dyDescent="0.3">
      <c r="A23" s="2" t="s">
        <v>12</v>
      </c>
      <c r="B23" s="2" t="s">
        <v>63</v>
      </c>
    </row>
    <row r="24" spans="1:2" x14ac:dyDescent="0.3">
      <c r="A24" s="2" t="s">
        <v>13</v>
      </c>
      <c r="B24" s="2" t="s">
        <v>64</v>
      </c>
    </row>
    <row r="25" spans="1:2" ht="15.75" customHeight="1" x14ac:dyDescent="0.3">
      <c r="A25" s="2" t="s">
        <v>25</v>
      </c>
      <c r="B25" s="2" t="s">
        <v>76</v>
      </c>
    </row>
    <row r="26" spans="1:2" ht="15.75" customHeight="1" x14ac:dyDescent="0.3">
      <c r="A26" s="2" t="s">
        <v>26</v>
      </c>
      <c r="B26" s="2" t="s">
        <v>77</v>
      </c>
    </row>
    <row r="27" spans="1:2" ht="15.75" customHeight="1" x14ac:dyDescent="0.3">
      <c r="A27" s="2" t="s">
        <v>27</v>
      </c>
      <c r="B27" s="2" t="s">
        <v>78</v>
      </c>
    </row>
    <row r="28" spans="1:2" ht="15.75" customHeight="1" x14ac:dyDescent="0.3">
      <c r="A28" s="2" t="s">
        <v>28</v>
      </c>
      <c r="B28" s="2" t="s">
        <v>79</v>
      </c>
    </row>
    <row r="29" spans="1:2" ht="15.75" customHeight="1" x14ac:dyDescent="0.3">
      <c r="A29" s="2" t="s">
        <v>29</v>
      </c>
      <c r="B29" s="2" t="s">
        <v>80</v>
      </c>
    </row>
    <row r="30" spans="1:2" ht="15.75" customHeight="1" x14ac:dyDescent="0.3">
      <c r="A30" s="2" t="s">
        <v>30</v>
      </c>
      <c r="B30" s="2" t="s">
        <v>81</v>
      </c>
    </row>
    <row r="31" spans="1:2" ht="15.75" customHeight="1" x14ac:dyDescent="0.3">
      <c r="A31" s="2" t="s">
        <v>31</v>
      </c>
      <c r="B31" s="2" t="s">
        <v>82</v>
      </c>
    </row>
    <row r="32" spans="1:2" ht="15.75" customHeight="1" x14ac:dyDescent="0.3">
      <c r="A32" s="2" t="s">
        <v>32</v>
      </c>
      <c r="B32" s="2" t="s">
        <v>83</v>
      </c>
    </row>
    <row r="33" spans="1:2" ht="15.75" customHeight="1" x14ac:dyDescent="0.3">
      <c r="A33" s="2" t="s">
        <v>33</v>
      </c>
      <c r="B33" s="2" t="s">
        <v>84</v>
      </c>
    </row>
    <row r="34" spans="1:2" ht="15.75" customHeight="1" x14ac:dyDescent="0.3">
      <c r="A34" s="2" t="s">
        <v>34</v>
      </c>
      <c r="B34" s="2" t="s">
        <v>85</v>
      </c>
    </row>
    <row r="35" spans="1:2" ht="15.75" customHeight="1" x14ac:dyDescent="0.3">
      <c r="A35" s="2" t="s">
        <v>35</v>
      </c>
      <c r="B35" s="2" t="s">
        <v>86</v>
      </c>
    </row>
    <row r="36" spans="1:2" ht="15.75" customHeight="1" x14ac:dyDescent="0.3">
      <c r="A36" s="2" t="s">
        <v>36</v>
      </c>
      <c r="B36" s="2" t="s">
        <v>87</v>
      </c>
    </row>
    <row r="37" spans="1:2" ht="15.75" customHeight="1" x14ac:dyDescent="0.3">
      <c r="A37" s="2" t="s">
        <v>37</v>
      </c>
      <c r="B37" s="2" t="s">
        <v>88</v>
      </c>
    </row>
    <row r="38" spans="1:2" ht="15.75" customHeight="1" x14ac:dyDescent="0.3">
      <c r="A38" s="2" t="s">
        <v>38</v>
      </c>
      <c r="B38" s="2" t="s">
        <v>89</v>
      </c>
    </row>
    <row r="39" spans="1:2" ht="15.75" customHeight="1" x14ac:dyDescent="0.3">
      <c r="A39" s="2" t="s">
        <v>39</v>
      </c>
      <c r="B39" s="2" t="s">
        <v>90</v>
      </c>
    </row>
    <row r="40" spans="1:2" ht="15.75" customHeight="1" x14ac:dyDescent="0.3">
      <c r="A40" s="2" t="s">
        <v>40</v>
      </c>
      <c r="B40" s="2" t="s">
        <v>91</v>
      </c>
    </row>
    <row r="41" spans="1:2" ht="15.75" customHeight="1" x14ac:dyDescent="0.3">
      <c r="A41" s="2" t="s">
        <v>41</v>
      </c>
      <c r="B41" s="2" t="s">
        <v>92</v>
      </c>
    </row>
    <row r="42" spans="1:2" ht="15.75" customHeight="1" x14ac:dyDescent="0.3">
      <c r="A42" s="2" t="s">
        <v>42</v>
      </c>
      <c r="B42" s="2" t="s">
        <v>93</v>
      </c>
    </row>
    <row r="43" spans="1:2" ht="15.75" customHeight="1" x14ac:dyDescent="0.3">
      <c r="A43" s="2" t="s">
        <v>43</v>
      </c>
      <c r="B43" s="2" t="s">
        <v>94</v>
      </c>
    </row>
    <row r="44" spans="1:2" ht="15.75" customHeight="1" x14ac:dyDescent="0.3">
      <c r="A44" s="2" t="s">
        <v>44</v>
      </c>
      <c r="B44" s="2" t="s">
        <v>95</v>
      </c>
    </row>
    <row r="45" spans="1:2" ht="15.75" customHeight="1" x14ac:dyDescent="0.3">
      <c r="A45" s="2" t="s">
        <v>45</v>
      </c>
      <c r="B45" s="2" t="s">
        <v>96</v>
      </c>
    </row>
    <row r="46" spans="1:2" ht="15.75" customHeight="1" x14ac:dyDescent="0.3">
      <c r="A46" s="2" t="s">
        <v>46</v>
      </c>
      <c r="B46" s="2" t="s">
        <v>97</v>
      </c>
    </row>
    <row r="47" spans="1:2" ht="15.75" customHeight="1" x14ac:dyDescent="0.3">
      <c r="A47" s="2" t="s">
        <v>47</v>
      </c>
      <c r="B47" s="2" t="s">
        <v>98</v>
      </c>
    </row>
    <row r="48" spans="1:2" ht="15.75" customHeight="1" x14ac:dyDescent="0.3">
      <c r="A48" s="2" t="s">
        <v>32</v>
      </c>
      <c r="B48" s="2" t="s">
        <v>83</v>
      </c>
    </row>
    <row r="49" spans="1:2" ht="15.75" customHeight="1" x14ac:dyDescent="0.3">
      <c r="A49" s="2" t="s">
        <v>33</v>
      </c>
      <c r="B49" s="2" t="s">
        <v>84</v>
      </c>
    </row>
    <row r="50" spans="1:2" ht="15.75" customHeight="1" x14ac:dyDescent="0.3">
      <c r="A50" s="2" t="s">
        <v>34</v>
      </c>
      <c r="B50" s="2" t="s">
        <v>85</v>
      </c>
    </row>
    <row r="51" spans="1:2" ht="15.75" customHeight="1" x14ac:dyDescent="0.3">
      <c r="A51" s="2" t="s">
        <v>35</v>
      </c>
      <c r="B51" s="2" t="s">
        <v>86</v>
      </c>
    </row>
    <row r="52" spans="1:2" ht="15.75" customHeight="1" x14ac:dyDescent="0.3">
      <c r="A52" s="2" t="s">
        <v>48</v>
      </c>
      <c r="B52" s="2" t="s">
        <v>99</v>
      </c>
    </row>
    <row r="53" spans="1:2" ht="15.75" customHeight="1" x14ac:dyDescent="0.3">
      <c r="A53" s="2" t="s">
        <v>49</v>
      </c>
      <c r="B53" s="2" t="s">
        <v>100</v>
      </c>
    </row>
    <row r="54" spans="1:2" ht="15.75" customHeight="1" x14ac:dyDescent="0.3">
      <c r="A54" s="2" t="s">
        <v>50</v>
      </c>
      <c r="B54" s="2" t="s">
        <v>101</v>
      </c>
    </row>
    <row r="55" spans="1:2" ht="15.75" customHeight="1" x14ac:dyDescent="0.3">
      <c r="A55" s="2" t="s">
        <v>51</v>
      </c>
      <c r="B55" s="2" t="s">
        <v>102</v>
      </c>
    </row>
    <row r="56" spans="1:2" ht="15.75" customHeight="1" x14ac:dyDescent="0.3">
      <c r="A56" s="2" t="s">
        <v>52</v>
      </c>
      <c r="B56" s="2" t="s">
        <v>103</v>
      </c>
    </row>
    <row r="57" spans="1:2" ht="15.75" customHeight="1" x14ac:dyDescent="0.3">
      <c r="A57" s="2" t="s">
        <v>53</v>
      </c>
      <c r="B57" s="2" t="s">
        <v>104</v>
      </c>
    </row>
    <row r="58" spans="1:2" ht="15.75" customHeight="1" x14ac:dyDescent="0.3">
      <c r="A58" s="2" t="s">
        <v>54</v>
      </c>
      <c r="B58" s="2" t="s">
        <v>105</v>
      </c>
    </row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  <row r="1001" customFormat="1" ht="15.75" customHeight="1" x14ac:dyDescent="0.3"/>
    <row r="1002" customFormat="1" ht="15.75" customHeight="1" x14ac:dyDescent="0.3"/>
    <row r="1003" customFormat="1" ht="15.75" customHeight="1" x14ac:dyDescent="0.3"/>
    <row r="1004" customFormat="1" ht="15.75" customHeight="1" x14ac:dyDescent="0.3"/>
    <row r="1005" customFormat="1" ht="15.75" customHeight="1" x14ac:dyDescent="0.3"/>
    <row r="1006" customFormat="1" ht="15.75" customHeight="1" x14ac:dyDescent="0.3"/>
    <row r="1007" customFormat="1" ht="15.75" customHeight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2F395-82DA-4F6A-8EAB-9BD499ACA763}">
  <dimension ref="A1:I1000"/>
  <sheetViews>
    <sheetView workbookViewId="0">
      <selection activeCell="G17" sqref="G17"/>
    </sheetView>
  </sheetViews>
  <sheetFormatPr defaultColWidth="14.44140625" defaultRowHeight="14.4" x14ac:dyDescent="0.3"/>
  <cols>
    <col min="1" max="1" width="10.33203125" customWidth="1"/>
    <col min="2" max="3" width="10.6640625" customWidth="1"/>
    <col min="4" max="4" width="18.6640625" bestFit="1" customWidth="1"/>
    <col min="5" max="26" width="8.88671875" customWidth="1"/>
  </cols>
  <sheetData>
    <row r="1" spans="1:9" x14ac:dyDescent="0.3">
      <c r="A1" s="3" t="s">
        <v>0</v>
      </c>
      <c r="B1" s="3" t="s">
        <v>106</v>
      </c>
      <c r="C1" s="15" t="s">
        <v>110</v>
      </c>
      <c r="D1" t="s">
        <v>127</v>
      </c>
      <c r="H1" s="4" t="s">
        <v>107</v>
      </c>
      <c r="I1" s="2"/>
    </row>
    <row r="2" spans="1:9" x14ac:dyDescent="0.3">
      <c r="A2" s="2" t="s">
        <v>5</v>
      </c>
      <c r="B2" s="2" t="s">
        <v>108</v>
      </c>
      <c r="C2" t="str">
        <f>VLOOKUP(B:B,H:I,2,0)</f>
        <v>A</v>
      </c>
      <c r="D2">
        <f>IF(OR(C2="A",C2="B",C2="C"),80,40)</f>
        <v>80</v>
      </c>
      <c r="H2" s="5" t="s">
        <v>109</v>
      </c>
      <c r="I2" s="5" t="s">
        <v>110</v>
      </c>
    </row>
    <row r="3" spans="1:9" x14ac:dyDescent="0.3">
      <c r="A3" s="2" t="s">
        <v>6</v>
      </c>
      <c r="B3" s="2" t="s">
        <v>111</v>
      </c>
      <c r="C3" t="str">
        <f t="shared" ref="C3:C51" si="0">VLOOKUP(B:B,H:I,2,0)</f>
        <v>B</v>
      </c>
      <c r="D3">
        <f t="shared" ref="D3:D51" si="1">IF(OR(C3="A",C3="B",C3="C"),80,40)</f>
        <v>80</v>
      </c>
      <c r="H3" s="2" t="s">
        <v>108</v>
      </c>
      <c r="I3" s="2" t="s">
        <v>112</v>
      </c>
    </row>
    <row r="4" spans="1:9" x14ac:dyDescent="0.3">
      <c r="A4" s="2" t="s">
        <v>7</v>
      </c>
      <c r="B4" s="2" t="s">
        <v>113</v>
      </c>
      <c r="C4" t="str">
        <f t="shared" si="0"/>
        <v>C</v>
      </c>
      <c r="D4">
        <f t="shared" si="1"/>
        <v>80</v>
      </c>
      <c r="H4" s="2" t="s">
        <v>111</v>
      </c>
      <c r="I4" s="2" t="s">
        <v>114</v>
      </c>
    </row>
    <row r="5" spans="1:9" x14ac:dyDescent="0.3">
      <c r="A5" s="2" t="s">
        <v>8</v>
      </c>
      <c r="B5" s="2" t="s">
        <v>115</v>
      </c>
      <c r="C5" t="str">
        <f t="shared" si="0"/>
        <v>D</v>
      </c>
      <c r="D5">
        <f t="shared" si="1"/>
        <v>40</v>
      </c>
      <c r="H5" s="2" t="s">
        <v>113</v>
      </c>
      <c r="I5" s="2" t="s">
        <v>116</v>
      </c>
    </row>
    <row r="6" spans="1:9" x14ac:dyDescent="0.3">
      <c r="A6" s="2" t="s">
        <v>9</v>
      </c>
      <c r="B6" s="2" t="s">
        <v>117</v>
      </c>
      <c r="C6" t="str">
        <f t="shared" si="0"/>
        <v>E</v>
      </c>
      <c r="D6">
        <f t="shared" si="1"/>
        <v>40</v>
      </c>
      <c r="H6" s="2" t="s">
        <v>115</v>
      </c>
      <c r="I6" s="2" t="s">
        <v>118</v>
      </c>
    </row>
    <row r="7" spans="1:9" x14ac:dyDescent="0.3">
      <c r="A7" s="2" t="s">
        <v>10</v>
      </c>
      <c r="B7" s="2" t="s">
        <v>108</v>
      </c>
      <c r="C7" t="str">
        <f t="shared" si="0"/>
        <v>A</v>
      </c>
      <c r="D7">
        <f t="shared" si="1"/>
        <v>80</v>
      </c>
      <c r="H7" s="2" t="s">
        <v>117</v>
      </c>
      <c r="I7" s="2" t="s">
        <v>119</v>
      </c>
    </row>
    <row r="8" spans="1:9" x14ac:dyDescent="0.3">
      <c r="A8" s="2" t="s">
        <v>11</v>
      </c>
      <c r="B8" s="2" t="s">
        <v>111</v>
      </c>
      <c r="C8" t="str">
        <f t="shared" si="0"/>
        <v>B</v>
      </c>
      <c r="D8">
        <f t="shared" si="1"/>
        <v>80</v>
      </c>
      <c r="E8" s="2"/>
    </row>
    <row r="9" spans="1:9" x14ac:dyDescent="0.3">
      <c r="A9" s="2" t="s">
        <v>12</v>
      </c>
      <c r="B9" s="2" t="s">
        <v>113</v>
      </c>
      <c r="C9" t="str">
        <f t="shared" si="0"/>
        <v>C</v>
      </c>
      <c r="D9">
        <f t="shared" si="1"/>
        <v>80</v>
      </c>
      <c r="E9" s="2"/>
    </row>
    <row r="10" spans="1:9" x14ac:dyDescent="0.3">
      <c r="A10" s="2" t="s">
        <v>13</v>
      </c>
      <c r="B10" s="2" t="s">
        <v>115</v>
      </c>
      <c r="C10" t="str">
        <f t="shared" si="0"/>
        <v>D</v>
      </c>
      <c r="D10">
        <f t="shared" si="1"/>
        <v>40</v>
      </c>
    </row>
    <row r="11" spans="1:9" x14ac:dyDescent="0.3">
      <c r="A11" s="2" t="s">
        <v>14</v>
      </c>
      <c r="B11" s="2" t="s">
        <v>117</v>
      </c>
      <c r="C11" t="str">
        <f t="shared" si="0"/>
        <v>E</v>
      </c>
      <c r="D11">
        <f t="shared" si="1"/>
        <v>40</v>
      </c>
    </row>
    <row r="12" spans="1:9" x14ac:dyDescent="0.3">
      <c r="A12" s="2" t="s">
        <v>15</v>
      </c>
      <c r="B12" s="2" t="s">
        <v>108</v>
      </c>
      <c r="C12" t="str">
        <f t="shared" si="0"/>
        <v>A</v>
      </c>
      <c r="D12">
        <f t="shared" si="1"/>
        <v>80</v>
      </c>
    </row>
    <row r="13" spans="1:9" x14ac:dyDescent="0.3">
      <c r="A13" s="2" t="s">
        <v>16</v>
      </c>
      <c r="B13" s="2" t="s">
        <v>111</v>
      </c>
      <c r="C13" t="str">
        <f t="shared" si="0"/>
        <v>B</v>
      </c>
      <c r="D13">
        <f t="shared" si="1"/>
        <v>80</v>
      </c>
    </row>
    <row r="14" spans="1:9" x14ac:dyDescent="0.3">
      <c r="A14" s="2" t="s">
        <v>17</v>
      </c>
      <c r="B14" s="2" t="s">
        <v>113</v>
      </c>
      <c r="C14" t="str">
        <f t="shared" si="0"/>
        <v>C</v>
      </c>
      <c r="D14">
        <f t="shared" si="1"/>
        <v>80</v>
      </c>
    </row>
    <row r="15" spans="1:9" x14ac:dyDescent="0.3">
      <c r="A15" s="2" t="s">
        <v>18</v>
      </c>
      <c r="B15" s="2" t="s">
        <v>115</v>
      </c>
      <c r="C15" t="str">
        <f t="shared" si="0"/>
        <v>D</v>
      </c>
      <c r="D15">
        <f t="shared" si="1"/>
        <v>40</v>
      </c>
    </row>
    <row r="16" spans="1:9" x14ac:dyDescent="0.3">
      <c r="A16" s="2" t="s">
        <v>19</v>
      </c>
      <c r="B16" s="2" t="s">
        <v>117</v>
      </c>
      <c r="C16" t="str">
        <f t="shared" si="0"/>
        <v>E</v>
      </c>
      <c r="D16">
        <f t="shared" si="1"/>
        <v>40</v>
      </c>
    </row>
    <row r="17" spans="1:4" x14ac:dyDescent="0.3">
      <c r="A17" s="2" t="s">
        <v>20</v>
      </c>
      <c r="B17" s="2" t="s">
        <v>108</v>
      </c>
      <c r="C17" t="str">
        <f t="shared" si="0"/>
        <v>A</v>
      </c>
      <c r="D17">
        <f t="shared" si="1"/>
        <v>80</v>
      </c>
    </row>
    <row r="18" spans="1:4" x14ac:dyDescent="0.3">
      <c r="A18" s="2" t="s">
        <v>21</v>
      </c>
      <c r="B18" s="2" t="s">
        <v>111</v>
      </c>
      <c r="C18" t="str">
        <f t="shared" si="0"/>
        <v>B</v>
      </c>
      <c r="D18">
        <f t="shared" si="1"/>
        <v>80</v>
      </c>
    </row>
    <row r="19" spans="1:4" x14ac:dyDescent="0.3">
      <c r="A19" s="2" t="s">
        <v>22</v>
      </c>
      <c r="B19" s="2" t="s">
        <v>113</v>
      </c>
      <c r="C19" t="str">
        <f t="shared" si="0"/>
        <v>C</v>
      </c>
      <c r="D19">
        <f t="shared" si="1"/>
        <v>80</v>
      </c>
    </row>
    <row r="20" spans="1:4" x14ac:dyDescent="0.3">
      <c r="A20" s="2" t="s">
        <v>23</v>
      </c>
      <c r="B20" s="2" t="s">
        <v>115</v>
      </c>
      <c r="C20" t="str">
        <f t="shared" si="0"/>
        <v>D</v>
      </c>
      <c r="D20">
        <f t="shared" si="1"/>
        <v>40</v>
      </c>
    </row>
    <row r="21" spans="1:4" ht="15.75" customHeight="1" x14ac:dyDescent="0.3">
      <c r="A21" s="2" t="s">
        <v>24</v>
      </c>
      <c r="B21" s="2" t="s">
        <v>117</v>
      </c>
      <c r="C21" t="str">
        <f t="shared" si="0"/>
        <v>E</v>
      </c>
      <c r="D21">
        <f t="shared" si="1"/>
        <v>40</v>
      </c>
    </row>
    <row r="22" spans="1:4" ht="15.75" customHeight="1" x14ac:dyDescent="0.3">
      <c r="A22" s="2" t="s">
        <v>25</v>
      </c>
      <c r="B22" s="2" t="s">
        <v>108</v>
      </c>
      <c r="C22" t="str">
        <f t="shared" si="0"/>
        <v>A</v>
      </c>
      <c r="D22">
        <f t="shared" si="1"/>
        <v>80</v>
      </c>
    </row>
    <row r="23" spans="1:4" ht="15.75" customHeight="1" x14ac:dyDescent="0.3">
      <c r="A23" s="2" t="s">
        <v>26</v>
      </c>
      <c r="B23" s="2" t="s">
        <v>111</v>
      </c>
      <c r="C23" t="str">
        <f t="shared" si="0"/>
        <v>B</v>
      </c>
      <c r="D23">
        <f t="shared" si="1"/>
        <v>80</v>
      </c>
    </row>
    <row r="24" spans="1:4" ht="15.75" customHeight="1" x14ac:dyDescent="0.3">
      <c r="A24" s="2" t="s">
        <v>27</v>
      </c>
      <c r="B24" s="2" t="s">
        <v>113</v>
      </c>
      <c r="C24" t="str">
        <f t="shared" si="0"/>
        <v>C</v>
      </c>
      <c r="D24">
        <f t="shared" si="1"/>
        <v>80</v>
      </c>
    </row>
    <row r="25" spans="1:4" ht="15.75" customHeight="1" x14ac:dyDescent="0.3">
      <c r="A25" s="2" t="s">
        <v>28</v>
      </c>
      <c r="B25" s="2" t="s">
        <v>115</v>
      </c>
      <c r="C25" t="str">
        <f t="shared" si="0"/>
        <v>D</v>
      </c>
      <c r="D25">
        <f t="shared" si="1"/>
        <v>40</v>
      </c>
    </row>
    <row r="26" spans="1:4" ht="15.75" customHeight="1" x14ac:dyDescent="0.3">
      <c r="A26" s="2" t="s">
        <v>29</v>
      </c>
      <c r="B26" s="2" t="s">
        <v>117</v>
      </c>
      <c r="C26" t="str">
        <f t="shared" si="0"/>
        <v>E</v>
      </c>
      <c r="D26">
        <f t="shared" si="1"/>
        <v>40</v>
      </c>
    </row>
    <row r="27" spans="1:4" ht="15.75" customHeight="1" x14ac:dyDescent="0.3">
      <c r="A27" s="2" t="s">
        <v>30</v>
      </c>
      <c r="B27" s="2" t="s">
        <v>108</v>
      </c>
      <c r="C27" t="str">
        <f t="shared" si="0"/>
        <v>A</v>
      </c>
      <c r="D27">
        <f t="shared" si="1"/>
        <v>80</v>
      </c>
    </row>
    <row r="28" spans="1:4" ht="15.75" customHeight="1" x14ac:dyDescent="0.3">
      <c r="A28" s="2" t="s">
        <v>31</v>
      </c>
      <c r="B28" s="2" t="s">
        <v>111</v>
      </c>
      <c r="C28" t="str">
        <f t="shared" si="0"/>
        <v>B</v>
      </c>
      <c r="D28">
        <f t="shared" si="1"/>
        <v>80</v>
      </c>
    </row>
    <row r="29" spans="1:4" ht="15.75" customHeight="1" x14ac:dyDescent="0.3">
      <c r="A29" s="2" t="s">
        <v>32</v>
      </c>
      <c r="B29" s="2" t="s">
        <v>113</v>
      </c>
      <c r="C29" t="str">
        <f t="shared" si="0"/>
        <v>C</v>
      </c>
      <c r="D29">
        <f t="shared" si="1"/>
        <v>80</v>
      </c>
    </row>
    <row r="30" spans="1:4" ht="15.75" customHeight="1" x14ac:dyDescent="0.3">
      <c r="A30" s="2" t="s">
        <v>33</v>
      </c>
      <c r="B30" s="2" t="s">
        <v>115</v>
      </c>
      <c r="C30" t="str">
        <f t="shared" si="0"/>
        <v>D</v>
      </c>
      <c r="D30">
        <f t="shared" si="1"/>
        <v>40</v>
      </c>
    </row>
    <row r="31" spans="1:4" ht="15.75" customHeight="1" x14ac:dyDescent="0.3">
      <c r="A31" s="2" t="s">
        <v>34</v>
      </c>
      <c r="B31" s="2" t="s">
        <v>117</v>
      </c>
      <c r="C31" t="str">
        <f t="shared" si="0"/>
        <v>E</v>
      </c>
      <c r="D31">
        <f t="shared" si="1"/>
        <v>40</v>
      </c>
    </row>
    <row r="32" spans="1:4" ht="15.75" customHeight="1" x14ac:dyDescent="0.3">
      <c r="A32" s="2" t="s">
        <v>35</v>
      </c>
      <c r="B32" s="2" t="s">
        <v>108</v>
      </c>
      <c r="C32" t="str">
        <f t="shared" si="0"/>
        <v>A</v>
      </c>
      <c r="D32">
        <f t="shared" si="1"/>
        <v>80</v>
      </c>
    </row>
    <row r="33" spans="1:4" ht="15.75" customHeight="1" x14ac:dyDescent="0.3">
      <c r="A33" s="2" t="s">
        <v>36</v>
      </c>
      <c r="B33" s="2" t="s">
        <v>111</v>
      </c>
      <c r="C33" t="str">
        <f t="shared" si="0"/>
        <v>B</v>
      </c>
      <c r="D33">
        <f t="shared" si="1"/>
        <v>80</v>
      </c>
    </row>
    <row r="34" spans="1:4" ht="15.75" customHeight="1" x14ac:dyDescent="0.3">
      <c r="A34" s="2" t="s">
        <v>37</v>
      </c>
      <c r="B34" s="2" t="s">
        <v>113</v>
      </c>
      <c r="C34" t="str">
        <f t="shared" si="0"/>
        <v>C</v>
      </c>
      <c r="D34">
        <f t="shared" si="1"/>
        <v>80</v>
      </c>
    </row>
    <row r="35" spans="1:4" ht="15.75" customHeight="1" x14ac:dyDescent="0.3">
      <c r="A35" s="2" t="s">
        <v>38</v>
      </c>
      <c r="B35" s="2" t="s">
        <v>115</v>
      </c>
      <c r="C35" t="str">
        <f t="shared" si="0"/>
        <v>D</v>
      </c>
      <c r="D35">
        <f t="shared" si="1"/>
        <v>40</v>
      </c>
    </row>
    <row r="36" spans="1:4" ht="15.75" customHeight="1" x14ac:dyDescent="0.3">
      <c r="A36" s="2" t="s">
        <v>39</v>
      </c>
      <c r="B36" s="2" t="s">
        <v>117</v>
      </c>
      <c r="C36" t="str">
        <f t="shared" si="0"/>
        <v>E</v>
      </c>
      <c r="D36">
        <f t="shared" si="1"/>
        <v>40</v>
      </c>
    </row>
    <row r="37" spans="1:4" ht="15.75" customHeight="1" x14ac:dyDescent="0.3">
      <c r="A37" s="2" t="s">
        <v>40</v>
      </c>
      <c r="B37" s="2" t="s">
        <v>108</v>
      </c>
      <c r="C37" t="str">
        <f t="shared" si="0"/>
        <v>A</v>
      </c>
      <c r="D37">
        <f t="shared" si="1"/>
        <v>80</v>
      </c>
    </row>
    <row r="38" spans="1:4" ht="15.75" customHeight="1" x14ac:dyDescent="0.3">
      <c r="A38" s="2" t="s">
        <v>41</v>
      </c>
      <c r="B38" s="2" t="s">
        <v>111</v>
      </c>
      <c r="C38" t="str">
        <f t="shared" si="0"/>
        <v>B</v>
      </c>
      <c r="D38">
        <f t="shared" si="1"/>
        <v>80</v>
      </c>
    </row>
    <row r="39" spans="1:4" ht="15.75" customHeight="1" x14ac:dyDescent="0.3">
      <c r="A39" s="2" t="s">
        <v>42</v>
      </c>
      <c r="B39" s="2" t="s">
        <v>113</v>
      </c>
      <c r="C39" t="str">
        <f t="shared" si="0"/>
        <v>C</v>
      </c>
      <c r="D39">
        <f t="shared" si="1"/>
        <v>80</v>
      </c>
    </row>
    <row r="40" spans="1:4" ht="15.75" customHeight="1" x14ac:dyDescent="0.3">
      <c r="A40" s="2" t="s">
        <v>43</v>
      </c>
      <c r="B40" s="2" t="s">
        <v>115</v>
      </c>
      <c r="C40" t="str">
        <f t="shared" si="0"/>
        <v>D</v>
      </c>
      <c r="D40">
        <f t="shared" si="1"/>
        <v>40</v>
      </c>
    </row>
    <row r="41" spans="1:4" ht="15.75" customHeight="1" x14ac:dyDescent="0.3">
      <c r="A41" s="2" t="s">
        <v>44</v>
      </c>
      <c r="B41" s="2" t="s">
        <v>117</v>
      </c>
      <c r="C41" t="str">
        <f t="shared" si="0"/>
        <v>E</v>
      </c>
      <c r="D41">
        <f t="shared" si="1"/>
        <v>40</v>
      </c>
    </row>
    <row r="42" spans="1:4" ht="15.75" customHeight="1" x14ac:dyDescent="0.3">
      <c r="A42" s="2" t="s">
        <v>45</v>
      </c>
      <c r="B42" s="2" t="s">
        <v>108</v>
      </c>
      <c r="C42" t="str">
        <f t="shared" si="0"/>
        <v>A</v>
      </c>
      <c r="D42">
        <f t="shared" si="1"/>
        <v>80</v>
      </c>
    </row>
    <row r="43" spans="1:4" ht="15.75" customHeight="1" x14ac:dyDescent="0.3">
      <c r="A43" s="2" t="s">
        <v>46</v>
      </c>
      <c r="B43" s="2" t="s">
        <v>111</v>
      </c>
      <c r="C43" t="str">
        <f t="shared" si="0"/>
        <v>B</v>
      </c>
      <c r="D43">
        <f t="shared" si="1"/>
        <v>80</v>
      </c>
    </row>
    <row r="44" spans="1:4" ht="15.75" customHeight="1" x14ac:dyDescent="0.3">
      <c r="A44" s="2" t="s">
        <v>47</v>
      </c>
      <c r="B44" s="2" t="s">
        <v>113</v>
      </c>
      <c r="C44" t="str">
        <f t="shared" si="0"/>
        <v>C</v>
      </c>
      <c r="D44">
        <f t="shared" si="1"/>
        <v>80</v>
      </c>
    </row>
    <row r="45" spans="1:4" ht="15.75" customHeight="1" x14ac:dyDescent="0.3">
      <c r="A45" s="2" t="s">
        <v>48</v>
      </c>
      <c r="B45" s="2" t="s">
        <v>115</v>
      </c>
      <c r="C45" t="str">
        <f t="shared" si="0"/>
        <v>D</v>
      </c>
      <c r="D45">
        <f t="shared" si="1"/>
        <v>40</v>
      </c>
    </row>
    <row r="46" spans="1:4" ht="15.75" customHeight="1" x14ac:dyDescent="0.3">
      <c r="A46" s="2" t="s">
        <v>49</v>
      </c>
      <c r="B46" s="2" t="s">
        <v>117</v>
      </c>
      <c r="C46" t="str">
        <f t="shared" si="0"/>
        <v>E</v>
      </c>
      <c r="D46">
        <f t="shared" si="1"/>
        <v>40</v>
      </c>
    </row>
    <row r="47" spans="1:4" ht="15.75" customHeight="1" x14ac:dyDescent="0.3">
      <c r="A47" s="2" t="s">
        <v>50</v>
      </c>
      <c r="B47" s="2" t="s">
        <v>108</v>
      </c>
      <c r="C47" t="str">
        <f t="shared" si="0"/>
        <v>A</v>
      </c>
      <c r="D47">
        <f t="shared" si="1"/>
        <v>80</v>
      </c>
    </row>
    <row r="48" spans="1:4" ht="15.75" customHeight="1" x14ac:dyDescent="0.3">
      <c r="A48" s="2" t="s">
        <v>51</v>
      </c>
      <c r="B48" s="2" t="s">
        <v>111</v>
      </c>
      <c r="C48" t="str">
        <f t="shared" si="0"/>
        <v>B</v>
      </c>
      <c r="D48">
        <f t="shared" si="1"/>
        <v>80</v>
      </c>
    </row>
    <row r="49" spans="1:4" ht="15.75" customHeight="1" x14ac:dyDescent="0.3">
      <c r="A49" s="2" t="s">
        <v>52</v>
      </c>
      <c r="B49" s="2" t="s">
        <v>113</v>
      </c>
      <c r="C49" t="str">
        <f t="shared" si="0"/>
        <v>C</v>
      </c>
      <c r="D49">
        <f t="shared" si="1"/>
        <v>80</v>
      </c>
    </row>
    <row r="50" spans="1:4" ht="15.75" customHeight="1" x14ac:dyDescent="0.3">
      <c r="A50" s="2" t="s">
        <v>53</v>
      </c>
      <c r="B50" s="2" t="s">
        <v>115</v>
      </c>
      <c r="C50" t="str">
        <f t="shared" si="0"/>
        <v>D</v>
      </c>
      <c r="D50">
        <f t="shared" si="1"/>
        <v>40</v>
      </c>
    </row>
    <row r="51" spans="1:4" ht="15.75" customHeight="1" x14ac:dyDescent="0.3">
      <c r="A51" s="2" t="s">
        <v>54</v>
      </c>
      <c r="B51" s="2" t="s">
        <v>117</v>
      </c>
      <c r="C51" t="str">
        <f t="shared" si="0"/>
        <v>E</v>
      </c>
      <c r="D51">
        <f t="shared" si="1"/>
        <v>40</v>
      </c>
    </row>
    <row r="52" spans="1:4" ht="15.75" customHeight="1" x14ac:dyDescent="0.3"/>
    <row r="53" spans="1:4" ht="15.75" customHeight="1" x14ac:dyDescent="0.3"/>
    <row r="54" spans="1:4" ht="15.75" customHeight="1" x14ac:dyDescent="0.3"/>
    <row r="55" spans="1:4" ht="15.75" customHeight="1" x14ac:dyDescent="0.3"/>
    <row r="56" spans="1:4" ht="15.75" customHeight="1" x14ac:dyDescent="0.3"/>
    <row r="57" spans="1:4" ht="15.75" customHeight="1" x14ac:dyDescent="0.3"/>
    <row r="58" spans="1:4" ht="15.75" customHeight="1" x14ac:dyDescent="0.3"/>
    <row r="59" spans="1:4" ht="15.75" customHeight="1" x14ac:dyDescent="0.3"/>
    <row r="60" spans="1:4" ht="15.75" customHeight="1" x14ac:dyDescent="0.3"/>
    <row r="61" spans="1:4" ht="15.75" customHeight="1" x14ac:dyDescent="0.3"/>
    <row r="62" spans="1:4" ht="15.75" customHeight="1" x14ac:dyDescent="0.3"/>
    <row r="63" spans="1:4" ht="15.75" customHeight="1" x14ac:dyDescent="0.3"/>
    <row r="64" spans="1:4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188AF-360C-4C10-93C1-D652E0921DF0}">
  <dimension ref="A1:G1000"/>
  <sheetViews>
    <sheetView workbookViewId="0">
      <selection activeCell="M256" sqref="M256"/>
    </sheetView>
  </sheetViews>
  <sheetFormatPr defaultColWidth="14.44140625" defaultRowHeight="14.4" x14ac:dyDescent="0.3"/>
  <cols>
    <col min="1" max="1" width="10.33203125" customWidth="1"/>
    <col min="2" max="2" width="7.44140625" bestFit="1" customWidth="1"/>
    <col min="3" max="3" width="10.44140625" bestFit="1" customWidth="1"/>
    <col min="4" max="4" width="8.88671875" customWidth="1"/>
    <col min="5" max="5" width="11.44140625" customWidth="1"/>
    <col min="6" max="6" width="15.77734375" customWidth="1"/>
    <col min="7" max="7" width="16.6640625" customWidth="1"/>
    <col min="8" max="23" width="8.88671875" customWidth="1"/>
  </cols>
  <sheetData>
    <row r="1" spans="1:7" x14ac:dyDescent="0.3">
      <c r="A1" s="3" t="s">
        <v>0</v>
      </c>
      <c r="B1" s="6" t="s">
        <v>120</v>
      </c>
      <c r="C1" s="6" t="s">
        <v>130</v>
      </c>
      <c r="D1" s="6" t="s">
        <v>121</v>
      </c>
      <c r="E1" t="s">
        <v>125</v>
      </c>
      <c r="F1" t="s">
        <v>4</v>
      </c>
      <c r="G1" s="15"/>
    </row>
    <row r="2" spans="1:7" x14ac:dyDescent="0.3">
      <c r="A2" s="2" t="s">
        <v>5</v>
      </c>
      <c r="B2" s="7">
        <v>45474</v>
      </c>
      <c r="C2" s="7" t="str">
        <f>TEXT(B2,"dddd")</f>
        <v>Monday</v>
      </c>
      <c r="D2" s="2" t="s">
        <v>122</v>
      </c>
      <c r="E2">
        <f>IF(D2="Yes",1,0)</f>
        <v>1</v>
      </c>
      <c r="F2">
        <f t="shared" ref="F2:F65" si="0">SUMIF(A:A,A2,E:E)</f>
        <v>2</v>
      </c>
    </row>
    <row r="3" spans="1:7" x14ac:dyDescent="0.3">
      <c r="A3" s="2" t="s">
        <v>6</v>
      </c>
      <c r="B3" s="7">
        <v>45474</v>
      </c>
      <c r="C3" s="7" t="str">
        <f t="shared" ref="C3:C66" si="1">TEXT(B3,"dddd")</f>
        <v>Monday</v>
      </c>
      <c r="D3" s="2" t="s">
        <v>123</v>
      </c>
      <c r="E3">
        <f t="shared" ref="E3:E66" si="2">IF(D3="Yes",1,0)</f>
        <v>0</v>
      </c>
      <c r="F3">
        <f t="shared" si="0"/>
        <v>3</v>
      </c>
    </row>
    <row r="4" spans="1:7" x14ac:dyDescent="0.3">
      <c r="A4" s="2" t="s">
        <v>7</v>
      </c>
      <c r="B4" s="7">
        <v>45474</v>
      </c>
      <c r="C4" s="7" t="str">
        <f t="shared" si="1"/>
        <v>Monday</v>
      </c>
      <c r="D4" s="2" t="s">
        <v>122</v>
      </c>
      <c r="E4">
        <f t="shared" si="2"/>
        <v>1</v>
      </c>
      <c r="F4">
        <f t="shared" si="0"/>
        <v>2</v>
      </c>
    </row>
    <row r="5" spans="1:7" x14ac:dyDescent="0.3">
      <c r="A5" s="2" t="s">
        <v>8</v>
      </c>
      <c r="B5" s="7">
        <v>45474</v>
      </c>
      <c r="C5" s="7" t="str">
        <f t="shared" si="1"/>
        <v>Monday</v>
      </c>
      <c r="D5" s="2" t="s">
        <v>123</v>
      </c>
      <c r="E5">
        <f t="shared" si="2"/>
        <v>0</v>
      </c>
      <c r="F5">
        <f t="shared" si="0"/>
        <v>2</v>
      </c>
    </row>
    <row r="6" spans="1:7" x14ac:dyDescent="0.3">
      <c r="A6" s="2" t="s">
        <v>9</v>
      </c>
      <c r="B6" s="7">
        <v>45474</v>
      </c>
      <c r="C6" s="7" t="str">
        <f t="shared" si="1"/>
        <v>Monday</v>
      </c>
      <c r="D6" s="2" t="s">
        <v>122</v>
      </c>
      <c r="E6">
        <f t="shared" si="2"/>
        <v>1</v>
      </c>
      <c r="F6">
        <f t="shared" si="0"/>
        <v>3</v>
      </c>
    </row>
    <row r="7" spans="1:7" x14ac:dyDescent="0.3">
      <c r="A7" s="2" t="s">
        <v>10</v>
      </c>
      <c r="B7" s="7">
        <v>45474</v>
      </c>
      <c r="C7" s="7" t="str">
        <f t="shared" si="1"/>
        <v>Monday</v>
      </c>
      <c r="D7" s="2" t="s">
        <v>123</v>
      </c>
      <c r="E7">
        <f t="shared" si="2"/>
        <v>0</v>
      </c>
      <c r="F7">
        <f t="shared" si="0"/>
        <v>3</v>
      </c>
    </row>
    <row r="8" spans="1:7" x14ac:dyDescent="0.3">
      <c r="A8" s="2" t="s">
        <v>11</v>
      </c>
      <c r="B8" s="7">
        <v>45474</v>
      </c>
      <c r="C8" s="7" t="str">
        <f t="shared" si="1"/>
        <v>Monday</v>
      </c>
      <c r="D8" s="2" t="s">
        <v>122</v>
      </c>
      <c r="E8">
        <f t="shared" si="2"/>
        <v>1</v>
      </c>
      <c r="F8">
        <f t="shared" si="0"/>
        <v>4</v>
      </c>
    </row>
    <row r="9" spans="1:7" x14ac:dyDescent="0.3">
      <c r="A9" s="2" t="s">
        <v>12</v>
      </c>
      <c r="B9" s="7">
        <v>45474</v>
      </c>
      <c r="C9" s="7" t="str">
        <f t="shared" si="1"/>
        <v>Monday</v>
      </c>
      <c r="D9" s="2" t="s">
        <v>123</v>
      </c>
      <c r="E9">
        <f t="shared" si="2"/>
        <v>0</v>
      </c>
      <c r="F9">
        <f t="shared" si="0"/>
        <v>3</v>
      </c>
    </row>
    <row r="10" spans="1:7" x14ac:dyDescent="0.3">
      <c r="A10" s="2" t="s">
        <v>13</v>
      </c>
      <c r="B10" s="7">
        <v>45474</v>
      </c>
      <c r="C10" s="7" t="str">
        <f t="shared" si="1"/>
        <v>Monday</v>
      </c>
      <c r="D10" s="2" t="s">
        <v>122</v>
      </c>
      <c r="E10">
        <f t="shared" si="2"/>
        <v>1</v>
      </c>
      <c r="F10">
        <f t="shared" si="0"/>
        <v>4</v>
      </c>
    </row>
    <row r="11" spans="1:7" x14ac:dyDescent="0.3">
      <c r="A11" s="2" t="s">
        <v>14</v>
      </c>
      <c r="B11" s="7">
        <v>45474</v>
      </c>
      <c r="C11" s="7" t="str">
        <f t="shared" si="1"/>
        <v>Monday</v>
      </c>
      <c r="D11" s="2" t="s">
        <v>123</v>
      </c>
      <c r="E11">
        <f t="shared" si="2"/>
        <v>0</v>
      </c>
      <c r="F11">
        <f t="shared" si="0"/>
        <v>2</v>
      </c>
    </row>
    <row r="12" spans="1:7" x14ac:dyDescent="0.3">
      <c r="A12" s="2" t="s">
        <v>15</v>
      </c>
      <c r="B12" s="7">
        <v>45474</v>
      </c>
      <c r="C12" s="7" t="str">
        <f t="shared" si="1"/>
        <v>Monday</v>
      </c>
      <c r="D12" s="2" t="s">
        <v>122</v>
      </c>
      <c r="E12">
        <f t="shared" si="2"/>
        <v>1</v>
      </c>
      <c r="F12">
        <f t="shared" si="0"/>
        <v>3</v>
      </c>
    </row>
    <row r="13" spans="1:7" x14ac:dyDescent="0.3">
      <c r="A13" s="2" t="s">
        <v>16</v>
      </c>
      <c r="B13" s="7">
        <v>45474</v>
      </c>
      <c r="C13" s="7" t="str">
        <f t="shared" si="1"/>
        <v>Monday</v>
      </c>
      <c r="D13" s="2" t="s">
        <v>123</v>
      </c>
      <c r="E13">
        <f t="shared" si="2"/>
        <v>0</v>
      </c>
      <c r="F13">
        <f t="shared" si="0"/>
        <v>0</v>
      </c>
    </row>
    <row r="14" spans="1:7" x14ac:dyDescent="0.3">
      <c r="A14" s="2" t="s">
        <v>17</v>
      </c>
      <c r="B14" s="7">
        <v>45474</v>
      </c>
      <c r="C14" s="7" t="str">
        <f t="shared" si="1"/>
        <v>Monday</v>
      </c>
      <c r="D14" s="2" t="s">
        <v>122</v>
      </c>
      <c r="E14">
        <f t="shared" si="2"/>
        <v>1</v>
      </c>
      <c r="F14">
        <f t="shared" si="0"/>
        <v>3</v>
      </c>
    </row>
    <row r="15" spans="1:7" x14ac:dyDescent="0.3">
      <c r="A15" s="2" t="s">
        <v>18</v>
      </c>
      <c r="B15" s="7">
        <v>45474</v>
      </c>
      <c r="C15" s="7" t="str">
        <f t="shared" si="1"/>
        <v>Monday</v>
      </c>
      <c r="D15" s="2" t="s">
        <v>123</v>
      </c>
      <c r="E15">
        <f t="shared" si="2"/>
        <v>0</v>
      </c>
      <c r="F15">
        <f t="shared" si="0"/>
        <v>3</v>
      </c>
    </row>
    <row r="16" spans="1:7" x14ac:dyDescent="0.3">
      <c r="A16" s="2" t="s">
        <v>19</v>
      </c>
      <c r="B16" s="7">
        <v>45474</v>
      </c>
      <c r="C16" s="7" t="str">
        <f t="shared" si="1"/>
        <v>Monday</v>
      </c>
      <c r="D16" s="2" t="s">
        <v>122</v>
      </c>
      <c r="E16">
        <f t="shared" si="2"/>
        <v>1</v>
      </c>
      <c r="F16">
        <f t="shared" si="0"/>
        <v>3</v>
      </c>
    </row>
    <row r="17" spans="1:6" x14ac:dyDescent="0.3">
      <c r="A17" s="2" t="s">
        <v>20</v>
      </c>
      <c r="B17" s="7">
        <v>45474</v>
      </c>
      <c r="C17" s="7" t="str">
        <f t="shared" si="1"/>
        <v>Monday</v>
      </c>
      <c r="D17" s="2" t="s">
        <v>123</v>
      </c>
      <c r="E17">
        <f t="shared" si="2"/>
        <v>0</v>
      </c>
      <c r="F17">
        <f t="shared" si="0"/>
        <v>2</v>
      </c>
    </row>
    <row r="18" spans="1:6" x14ac:dyDescent="0.3">
      <c r="A18" s="2" t="s">
        <v>21</v>
      </c>
      <c r="B18" s="7">
        <v>45474</v>
      </c>
      <c r="C18" s="7" t="str">
        <f t="shared" si="1"/>
        <v>Monday</v>
      </c>
      <c r="D18" s="2" t="s">
        <v>122</v>
      </c>
      <c r="E18">
        <f t="shared" si="2"/>
        <v>1</v>
      </c>
      <c r="F18">
        <f t="shared" si="0"/>
        <v>3</v>
      </c>
    </row>
    <row r="19" spans="1:6" x14ac:dyDescent="0.3">
      <c r="A19" s="2" t="s">
        <v>22</v>
      </c>
      <c r="B19" s="7">
        <v>45474</v>
      </c>
      <c r="C19" s="7" t="str">
        <f t="shared" si="1"/>
        <v>Monday</v>
      </c>
      <c r="D19" s="2" t="s">
        <v>123</v>
      </c>
      <c r="E19">
        <f t="shared" si="2"/>
        <v>0</v>
      </c>
      <c r="F19">
        <f t="shared" si="0"/>
        <v>3</v>
      </c>
    </row>
    <row r="20" spans="1:6" x14ac:dyDescent="0.3">
      <c r="A20" s="2" t="s">
        <v>23</v>
      </c>
      <c r="B20" s="7">
        <v>45474</v>
      </c>
      <c r="C20" s="7" t="str">
        <f t="shared" si="1"/>
        <v>Monday</v>
      </c>
      <c r="D20" s="2" t="s">
        <v>122</v>
      </c>
      <c r="E20">
        <f t="shared" si="2"/>
        <v>1</v>
      </c>
      <c r="F20">
        <f t="shared" si="0"/>
        <v>3</v>
      </c>
    </row>
    <row r="21" spans="1:6" ht="15.75" customHeight="1" x14ac:dyDescent="0.3">
      <c r="A21" s="2" t="s">
        <v>24</v>
      </c>
      <c r="B21" s="7">
        <v>45474</v>
      </c>
      <c r="C21" s="7" t="str">
        <f t="shared" si="1"/>
        <v>Monday</v>
      </c>
      <c r="D21" s="2" t="s">
        <v>123</v>
      </c>
      <c r="E21">
        <f t="shared" si="2"/>
        <v>0</v>
      </c>
      <c r="F21">
        <f t="shared" si="0"/>
        <v>2</v>
      </c>
    </row>
    <row r="22" spans="1:6" ht="15.75" customHeight="1" x14ac:dyDescent="0.3">
      <c r="A22" s="2" t="s">
        <v>25</v>
      </c>
      <c r="B22" s="7">
        <v>45474</v>
      </c>
      <c r="C22" s="7" t="str">
        <f t="shared" si="1"/>
        <v>Monday</v>
      </c>
      <c r="D22" s="2" t="s">
        <v>122</v>
      </c>
      <c r="E22">
        <f t="shared" si="2"/>
        <v>1</v>
      </c>
      <c r="F22">
        <f t="shared" si="0"/>
        <v>3</v>
      </c>
    </row>
    <row r="23" spans="1:6" ht="15.75" customHeight="1" x14ac:dyDescent="0.3">
      <c r="A23" s="2" t="s">
        <v>26</v>
      </c>
      <c r="B23" s="7">
        <v>45474</v>
      </c>
      <c r="C23" s="7" t="str">
        <f t="shared" si="1"/>
        <v>Monday</v>
      </c>
      <c r="D23" s="2" t="s">
        <v>123</v>
      </c>
      <c r="E23">
        <f t="shared" si="2"/>
        <v>0</v>
      </c>
      <c r="F23">
        <f t="shared" si="0"/>
        <v>1</v>
      </c>
    </row>
    <row r="24" spans="1:6" ht="15.75" customHeight="1" x14ac:dyDescent="0.3">
      <c r="A24" s="2" t="s">
        <v>27</v>
      </c>
      <c r="B24" s="7">
        <v>45474</v>
      </c>
      <c r="C24" s="7" t="str">
        <f t="shared" si="1"/>
        <v>Monday</v>
      </c>
      <c r="D24" s="2" t="s">
        <v>122</v>
      </c>
      <c r="E24">
        <f t="shared" si="2"/>
        <v>1</v>
      </c>
      <c r="F24">
        <f t="shared" si="0"/>
        <v>3</v>
      </c>
    </row>
    <row r="25" spans="1:6" ht="15.75" customHeight="1" x14ac:dyDescent="0.3">
      <c r="A25" s="2" t="s">
        <v>28</v>
      </c>
      <c r="B25" s="7">
        <v>45474</v>
      </c>
      <c r="C25" s="7" t="str">
        <f t="shared" si="1"/>
        <v>Monday</v>
      </c>
      <c r="D25" s="2" t="s">
        <v>123</v>
      </c>
      <c r="E25">
        <f t="shared" si="2"/>
        <v>0</v>
      </c>
      <c r="F25">
        <f t="shared" si="0"/>
        <v>2</v>
      </c>
    </row>
    <row r="26" spans="1:6" ht="15.75" customHeight="1" x14ac:dyDescent="0.3">
      <c r="A26" s="2" t="s">
        <v>29</v>
      </c>
      <c r="B26" s="7">
        <v>45474</v>
      </c>
      <c r="C26" s="7" t="str">
        <f t="shared" si="1"/>
        <v>Monday</v>
      </c>
      <c r="D26" s="2" t="s">
        <v>122</v>
      </c>
      <c r="E26">
        <f t="shared" si="2"/>
        <v>1</v>
      </c>
      <c r="F26">
        <f t="shared" si="0"/>
        <v>2</v>
      </c>
    </row>
    <row r="27" spans="1:6" ht="15.75" customHeight="1" x14ac:dyDescent="0.3">
      <c r="A27" s="2" t="s">
        <v>30</v>
      </c>
      <c r="B27" s="7">
        <v>45474</v>
      </c>
      <c r="C27" s="7" t="str">
        <f t="shared" si="1"/>
        <v>Monday</v>
      </c>
      <c r="D27" s="2" t="s">
        <v>123</v>
      </c>
      <c r="E27">
        <f t="shared" si="2"/>
        <v>0</v>
      </c>
      <c r="F27">
        <f t="shared" si="0"/>
        <v>2</v>
      </c>
    </row>
    <row r="28" spans="1:6" ht="15.75" customHeight="1" x14ac:dyDescent="0.3">
      <c r="A28" s="2" t="s">
        <v>31</v>
      </c>
      <c r="B28" s="7">
        <v>45474</v>
      </c>
      <c r="C28" s="7" t="str">
        <f t="shared" si="1"/>
        <v>Monday</v>
      </c>
      <c r="D28" s="2" t="s">
        <v>122</v>
      </c>
      <c r="E28">
        <f t="shared" si="2"/>
        <v>1</v>
      </c>
      <c r="F28">
        <f t="shared" si="0"/>
        <v>4</v>
      </c>
    </row>
    <row r="29" spans="1:6" ht="15.75" customHeight="1" x14ac:dyDescent="0.3">
      <c r="A29" s="2" t="s">
        <v>32</v>
      </c>
      <c r="B29" s="7">
        <v>45474</v>
      </c>
      <c r="C29" s="7" t="str">
        <f t="shared" si="1"/>
        <v>Monday</v>
      </c>
      <c r="D29" s="2" t="s">
        <v>123</v>
      </c>
      <c r="E29">
        <f t="shared" si="2"/>
        <v>0</v>
      </c>
      <c r="F29">
        <f t="shared" si="0"/>
        <v>0</v>
      </c>
    </row>
    <row r="30" spans="1:6" ht="15.75" customHeight="1" x14ac:dyDescent="0.3">
      <c r="A30" s="2" t="s">
        <v>33</v>
      </c>
      <c r="B30" s="7">
        <v>45474</v>
      </c>
      <c r="C30" s="7" t="str">
        <f t="shared" si="1"/>
        <v>Monday</v>
      </c>
      <c r="D30" s="2" t="s">
        <v>122</v>
      </c>
      <c r="E30">
        <f t="shared" si="2"/>
        <v>1</v>
      </c>
      <c r="F30">
        <f t="shared" si="0"/>
        <v>3</v>
      </c>
    </row>
    <row r="31" spans="1:6" ht="15.75" customHeight="1" x14ac:dyDescent="0.3">
      <c r="A31" s="2" t="s">
        <v>34</v>
      </c>
      <c r="B31" s="7">
        <v>45474</v>
      </c>
      <c r="C31" s="7" t="str">
        <f t="shared" si="1"/>
        <v>Monday</v>
      </c>
      <c r="D31" s="2" t="s">
        <v>123</v>
      </c>
      <c r="E31">
        <f t="shared" si="2"/>
        <v>0</v>
      </c>
      <c r="F31">
        <f t="shared" si="0"/>
        <v>4</v>
      </c>
    </row>
    <row r="32" spans="1:6" ht="15.75" customHeight="1" x14ac:dyDescent="0.3">
      <c r="A32" s="2" t="s">
        <v>35</v>
      </c>
      <c r="B32" s="7">
        <v>45474</v>
      </c>
      <c r="C32" s="7" t="str">
        <f t="shared" si="1"/>
        <v>Monday</v>
      </c>
      <c r="D32" s="2" t="s">
        <v>122</v>
      </c>
      <c r="E32">
        <f t="shared" si="2"/>
        <v>1</v>
      </c>
      <c r="F32">
        <f t="shared" si="0"/>
        <v>2</v>
      </c>
    </row>
    <row r="33" spans="1:6" ht="15.75" customHeight="1" x14ac:dyDescent="0.3">
      <c r="A33" s="2" t="s">
        <v>36</v>
      </c>
      <c r="B33" s="7">
        <v>45474</v>
      </c>
      <c r="C33" s="7" t="str">
        <f t="shared" si="1"/>
        <v>Monday</v>
      </c>
      <c r="D33" s="2" t="s">
        <v>123</v>
      </c>
      <c r="E33">
        <f t="shared" si="2"/>
        <v>0</v>
      </c>
      <c r="F33">
        <f t="shared" si="0"/>
        <v>2</v>
      </c>
    </row>
    <row r="34" spans="1:6" ht="15.75" customHeight="1" x14ac:dyDescent="0.3">
      <c r="A34" s="2" t="s">
        <v>37</v>
      </c>
      <c r="B34" s="7">
        <v>45474</v>
      </c>
      <c r="C34" s="7" t="str">
        <f t="shared" si="1"/>
        <v>Monday</v>
      </c>
      <c r="D34" s="2" t="s">
        <v>122</v>
      </c>
      <c r="E34">
        <f t="shared" si="2"/>
        <v>1</v>
      </c>
      <c r="F34">
        <f t="shared" si="0"/>
        <v>5</v>
      </c>
    </row>
    <row r="35" spans="1:6" ht="15.75" customHeight="1" x14ac:dyDescent="0.3">
      <c r="A35" s="2" t="s">
        <v>38</v>
      </c>
      <c r="B35" s="7">
        <v>45474</v>
      </c>
      <c r="C35" s="7" t="str">
        <f t="shared" si="1"/>
        <v>Monday</v>
      </c>
      <c r="D35" s="2" t="s">
        <v>123</v>
      </c>
      <c r="E35">
        <f t="shared" si="2"/>
        <v>0</v>
      </c>
      <c r="F35">
        <f t="shared" si="0"/>
        <v>2</v>
      </c>
    </row>
    <row r="36" spans="1:6" ht="15.75" customHeight="1" x14ac:dyDescent="0.3">
      <c r="A36" s="2" t="s">
        <v>39</v>
      </c>
      <c r="B36" s="7">
        <v>45474</v>
      </c>
      <c r="C36" s="7" t="str">
        <f t="shared" si="1"/>
        <v>Monday</v>
      </c>
      <c r="D36" s="2" t="s">
        <v>122</v>
      </c>
      <c r="E36">
        <f t="shared" si="2"/>
        <v>1</v>
      </c>
      <c r="F36">
        <f t="shared" si="0"/>
        <v>3</v>
      </c>
    </row>
    <row r="37" spans="1:6" ht="15.75" customHeight="1" x14ac:dyDescent="0.3">
      <c r="A37" s="2" t="s">
        <v>40</v>
      </c>
      <c r="B37" s="7">
        <v>45474</v>
      </c>
      <c r="C37" s="7" t="str">
        <f t="shared" si="1"/>
        <v>Monday</v>
      </c>
      <c r="D37" s="2" t="s">
        <v>123</v>
      </c>
      <c r="E37">
        <f t="shared" si="2"/>
        <v>0</v>
      </c>
      <c r="F37">
        <f t="shared" si="0"/>
        <v>3</v>
      </c>
    </row>
    <row r="38" spans="1:6" ht="15.75" customHeight="1" x14ac:dyDescent="0.3">
      <c r="A38" s="2" t="s">
        <v>41</v>
      </c>
      <c r="B38" s="7">
        <v>45474</v>
      </c>
      <c r="C38" s="7" t="str">
        <f t="shared" si="1"/>
        <v>Monday</v>
      </c>
      <c r="D38" s="2" t="s">
        <v>122</v>
      </c>
      <c r="E38">
        <f t="shared" si="2"/>
        <v>1</v>
      </c>
      <c r="F38">
        <f t="shared" si="0"/>
        <v>4</v>
      </c>
    </row>
    <row r="39" spans="1:6" ht="15.75" customHeight="1" x14ac:dyDescent="0.3">
      <c r="A39" s="2" t="s">
        <v>42</v>
      </c>
      <c r="B39" s="7">
        <v>45474</v>
      </c>
      <c r="C39" s="7" t="str">
        <f t="shared" si="1"/>
        <v>Monday</v>
      </c>
      <c r="D39" s="2" t="s">
        <v>123</v>
      </c>
      <c r="E39">
        <f t="shared" si="2"/>
        <v>0</v>
      </c>
      <c r="F39">
        <f t="shared" si="0"/>
        <v>3</v>
      </c>
    </row>
    <row r="40" spans="1:6" ht="15.75" customHeight="1" x14ac:dyDescent="0.3">
      <c r="A40" s="2" t="s">
        <v>43</v>
      </c>
      <c r="B40" s="7">
        <v>45474</v>
      </c>
      <c r="C40" s="7" t="str">
        <f t="shared" si="1"/>
        <v>Monday</v>
      </c>
      <c r="D40" s="2" t="s">
        <v>122</v>
      </c>
      <c r="E40">
        <f t="shared" si="2"/>
        <v>1</v>
      </c>
      <c r="F40">
        <f t="shared" si="0"/>
        <v>4</v>
      </c>
    </row>
    <row r="41" spans="1:6" ht="15.75" customHeight="1" x14ac:dyDescent="0.3">
      <c r="A41" s="2" t="s">
        <v>44</v>
      </c>
      <c r="B41" s="7">
        <v>45474</v>
      </c>
      <c r="C41" s="7" t="str">
        <f t="shared" si="1"/>
        <v>Monday</v>
      </c>
      <c r="D41" s="2" t="s">
        <v>123</v>
      </c>
      <c r="E41">
        <f t="shared" si="2"/>
        <v>0</v>
      </c>
      <c r="F41">
        <f t="shared" si="0"/>
        <v>1</v>
      </c>
    </row>
    <row r="42" spans="1:6" ht="15.75" customHeight="1" x14ac:dyDescent="0.3">
      <c r="A42" s="2" t="s">
        <v>45</v>
      </c>
      <c r="B42" s="7">
        <v>45474</v>
      </c>
      <c r="C42" s="7" t="str">
        <f t="shared" si="1"/>
        <v>Monday</v>
      </c>
      <c r="D42" s="2" t="s">
        <v>122</v>
      </c>
      <c r="E42">
        <f t="shared" si="2"/>
        <v>1</v>
      </c>
      <c r="F42">
        <f t="shared" si="0"/>
        <v>4</v>
      </c>
    </row>
    <row r="43" spans="1:6" ht="15.75" customHeight="1" x14ac:dyDescent="0.3">
      <c r="A43" s="2" t="s">
        <v>46</v>
      </c>
      <c r="B43" s="7">
        <v>45474</v>
      </c>
      <c r="C43" s="7" t="str">
        <f t="shared" si="1"/>
        <v>Monday</v>
      </c>
      <c r="D43" s="2" t="s">
        <v>123</v>
      </c>
      <c r="E43">
        <f t="shared" si="2"/>
        <v>0</v>
      </c>
      <c r="F43">
        <f t="shared" si="0"/>
        <v>1</v>
      </c>
    </row>
    <row r="44" spans="1:6" ht="15.75" customHeight="1" x14ac:dyDescent="0.3">
      <c r="A44" s="2" t="s">
        <v>47</v>
      </c>
      <c r="B44" s="7">
        <v>45474</v>
      </c>
      <c r="C44" s="7" t="str">
        <f t="shared" si="1"/>
        <v>Monday</v>
      </c>
      <c r="D44" s="2" t="s">
        <v>122</v>
      </c>
      <c r="E44">
        <f t="shared" si="2"/>
        <v>1</v>
      </c>
      <c r="F44">
        <f t="shared" si="0"/>
        <v>2</v>
      </c>
    </row>
    <row r="45" spans="1:6" ht="15.75" customHeight="1" x14ac:dyDescent="0.3">
      <c r="A45" s="2" t="s">
        <v>48</v>
      </c>
      <c r="B45" s="7">
        <v>45474</v>
      </c>
      <c r="C45" s="7" t="str">
        <f t="shared" si="1"/>
        <v>Monday</v>
      </c>
      <c r="D45" s="2" t="s">
        <v>123</v>
      </c>
      <c r="E45">
        <f t="shared" si="2"/>
        <v>0</v>
      </c>
      <c r="F45">
        <f t="shared" si="0"/>
        <v>2</v>
      </c>
    </row>
    <row r="46" spans="1:6" ht="15.75" customHeight="1" x14ac:dyDescent="0.3">
      <c r="A46" s="2" t="s">
        <v>49</v>
      </c>
      <c r="B46" s="7">
        <v>45474</v>
      </c>
      <c r="C46" s="7" t="str">
        <f t="shared" si="1"/>
        <v>Monday</v>
      </c>
      <c r="D46" s="2" t="s">
        <v>122</v>
      </c>
      <c r="E46">
        <f t="shared" si="2"/>
        <v>1</v>
      </c>
      <c r="F46">
        <f t="shared" si="0"/>
        <v>3</v>
      </c>
    </row>
    <row r="47" spans="1:6" ht="15.75" customHeight="1" x14ac:dyDescent="0.3">
      <c r="A47" s="2" t="s">
        <v>50</v>
      </c>
      <c r="B47" s="7">
        <v>45474</v>
      </c>
      <c r="C47" s="7" t="str">
        <f t="shared" si="1"/>
        <v>Monday</v>
      </c>
      <c r="D47" s="2" t="s">
        <v>123</v>
      </c>
      <c r="E47">
        <f t="shared" si="2"/>
        <v>0</v>
      </c>
      <c r="F47">
        <f t="shared" si="0"/>
        <v>2</v>
      </c>
    </row>
    <row r="48" spans="1:6" ht="15.75" customHeight="1" x14ac:dyDescent="0.3">
      <c r="A48" s="2" t="s">
        <v>51</v>
      </c>
      <c r="B48" s="7">
        <v>45474</v>
      </c>
      <c r="C48" s="7" t="str">
        <f t="shared" si="1"/>
        <v>Monday</v>
      </c>
      <c r="D48" s="2" t="s">
        <v>122</v>
      </c>
      <c r="E48">
        <f t="shared" si="2"/>
        <v>1</v>
      </c>
      <c r="F48">
        <f t="shared" si="0"/>
        <v>4</v>
      </c>
    </row>
    <row r="49" spans="1:6" ht="15.75" customHeight="1" x14ac:dyDescent="0.3">
      <c r="A49" s="2" t="s">
        <v>52</v>
      </c>
      <c r="B49" s="7">
        <v>45474</v>
      </c>
      <c r="C49" s="7" t="str">
        <f t="shared" si="1"/>
        <v>Monday</v>
      </c>
      <c r="D49" s="2" t="s">
        <v>123</v>
      </c>
      <c r="E49">
        <f t="shared" si="2"/>
        <v>0</v>
      </c>
      <c r="F49">
        <f t="shared" si="0"/>
        <v>0</v>
      </c>
    </row>
    <row r="50" spans="1:6" ht="15.75" customHeight="1" x14ac:dyDescent="0.3">
      <c r="A50" s="2" t="s">
        <v>53</v>
      </c>
      <c r="B50" s="7">
        <v>45474</v>
      </c>
      <c r="C50" s="7" t="str">
        <f t="shared" si="1"/>
        <v>Monday</v>
      </c>
      <c r="D50" s="2" t="s">
        <v>122</v>
      </c>
      <c r="E50">
        <f t="shared" si="2"/>
        <v>1</v>
      </c>
      <c r="F50">
        <f t="shared" si="0"/>
        <v>2</v>
      </c>
    </row>
    <row r="51" spans="1:6" ht="15.75" customHeight="1" x14ac:dyDescent="0.3">
      <c r="A51" s="2" t="s">
        <v>54</v>
      </c>
      <c r="B51" s="7">
        <v>45474</v>
      </c>
      <c r="C51" s="7" t="str">
        <f t="shared" si="1"/>
        <v>Monday</v>
      </c>
      <c r="D51" s="2" t="s">
        <v>123</v>
      </c>
      <c r="E51">
        <f t="shared" si="2"/>
        <v>0</v>
      </c>
      <c r="F51">
        <f t="shared" si="0"/>
        <v>1</v>
      </c>
    </row>
    <row r="52" spans="1:6" ht="15.75" customHeight="1" x14ac:dyDescent="0.3">
      <c r="A52" s="2" t="s">
        <v>5</v>
      </c>
      <c r="B52" s="7">
        <v>45475</v>
      </c>
      <c r="C52" s="7" t="str">
        <f t="shared" si="1"/>
        <v>Tuesday</v>
      </c>
      <c r="D52" s="8" t="s">
        <v>123</v>
      </c>
      <c r="E52">
        <f t="shared" si="2"/>
        <v>0</v>
      </c>
      <c r="F52">
        <f t="shared" si="0"/>
        <v>2</v>
      </c>
    </row>
    <row r="53" spans="1:6" ht="15.75" customHeight="1" x14ac:dyDescent="0.3">
      <c r="A53" s="2" t="s">
        <v>6</v>
      </c>
      <c r="B53" s="7">
        <v>45475</v>
      </c>
      <c r="C53" s="7" t="str">
        <f t="shared" si="1"/>
        <v>Tuesday</v>
      </c>
      <c r="D53" s="8" t="s">
        <v>122</v>
      </c>
      <c r="E53">
        <f t="shared" si="2"/>
        <v>1</v>
      </c>
      <c r="F53">
        <f t="shared" si="0"/>
        <v>3</v>
      </c>
    </row>
    <row r="54" spans="1:6" ht="15.75" customHeight="1" x14ac:dyDescent="0.3">
      <c r="A54" s="2" t="s">
        <v>7</v>
      </c>
      <c r="B54" s="7">
        <v>45475</v>
      </c>
      <c r="C54" s="7" t="str">
        <f t="shared" si="1"/>
        <v>Tuesday</v>
      </c>
      <c r="D54" s="8" t="s">
        <v>123</v>
      </c>
      <c r="E54">
        <f t="shared" si="2"/>
        <v>0</v>
      </c>
      <c r="F54">
        <f t="shared" si="0"/>
        <v>2</v>
      </c>
    </row>
    <row r="55" spans="1:6" ht="15.75" customHeight="1" x14ac:dyDescent="0.3">
      <c r="A55" s="2" t="s">
        <v>8</v>
      </c>
      <c r="B55" s="7">
        <v>45475</v>
      </c>
      <c r="C55" s="7" t="str">
        <f t="shared" si="1"/>
        <v>Tuesday</v>
      </c>
      <c r="D55" s="8" t="s">
        <v>123</v>
      </c>
      <c r="E55">
        <f t="shared" si="2"/>
        <v>0</v>
      </c>
      <c r="F55">
        <f t="shared" si="0"/>
        <v>2</v>
      </c>
    </row>
    <row r="56" spans="1:6" ht="15.75" customHeight="1" x14ac:dyDescent="0.3">
      <c r="A56" s="2" t="s">
        <v>9</v>
      </c>
      <c r="B56" s="7">
        <v>45475</v>
      </c>
      <c r="C56" s="7" t="str">
        <f t="shared" si="1"/>
        <v>Tuesday</v>
      </c>
      <c r="D56" s="8" t="s">
        <v>123</v>
      </c>
      <c r="E56">
        <f t="shared" si="2"/>
        <v>0</v>
      </c>
      <c r="F56">
        <f t="shared" si="0"/>
        <v>3</v>
      </c>
    </row>
    <row r="57" spans="1:6" ht="15.75" customHeight="1" x14ac:dyDescent="0.3">
      <c r="A57" s="2" t="s">
        <v>10</v>
      </c>
      <c r="B57" s="7">
        <v>45475</v>
      </c>
      <c r="C57" s="7" t="str">
        <f t="shared" si="1"/>
        <v>Tuesday</v>
      </c>
      <c r="D57" s="8" t="s">
        <v>123</v>
      </c>
      <c r="E57">
        <f t="shared" si="2"/>
        <v>0</v>
      </c>
      <c r="F57">
        <f t="shared" si="0"/>
        <v>3</v>
      </c>
    </row>
    <row r="58" spans="1:6" ht="15.75" customHeight="1" x14ac:dyDescent="0.3">
      <c r="A58" s="2" t="s">
        <v>11</v>
      </c>
      <c r="B58" s="7">
        <v>45475</v>
      </c>
      <c r="C58" s="7" t="str">
        <f t="shared" si="1"/>
        <v>Tuesday</v>
      </c>
      <c r="D58" s="8" t="s">
        <v>123</v>
      </c>
      <c r="E58">
        <f t="shared" si="2"/>
        <v>0</v>
      </c>
      <c r="F58">
        <f t="shared" si="0"/>
        <v>4</v>
      </c>
    </row>
    <row r="59" spans="1:6" ht="15.75" customHeight="1" x14ac:dyDescent="0.3">
      <c r="A59" s="2" t="s">
        <v>12</v>
      </c>
      <c r="B59" s="7">
        <v>45475</v>
      </c>
      <c r="C59" s="7" t="str">
        <f t="shared" si="1"/>
        <v>Tuesday</v>
      </c>
      <c r="D59" s="8" t="s">
        <v>122</v>
      </c>
      <c r="E59">
        <f t="shared" si="2"/>
        <v>1</v>
      </c>
      <c r="F59">
        <f t="shared" si="0"/>
        <v>3</v>
      </c>
    </row>
    <row r="60" spans="1:6" ht="15.75" customHeight="1" x14ac:dyDescent="0.3">
      <c r="A60" s="2" t="s">
        <v>13</v>
      </c>
      <c r="B60" s="7">
        <v>45475</v>
      </c>
      <c r="C60" s="7" t="str">
        <f t="shared" si="1"/>
        <v>Tuesday</v>
      </c>
      <c r="D60" s="8" t="s">
        <v>122</v>
      </c>
      <c r="E60">
        <f t="shared" si="2"/>
        <v>1</v>
      </c>
      <c r="F60">
        <f t="shared" si="0"/>
        <v>4</v>
      </c>
    </row>
    <row r="61" spans="1:6" ht="15.75" customHeight="1" x14ac:dyDescent="0.3">
      <c r="A61" s="2" t="s">
        <v>14</v>
      </c>
      <c r="B61" s="7">
        <v>45475</v>
      </c>
      <c r="C61" s="7" t="str">
        <f t="shared" si="1"/>
        <v>Tuesday</v>
      </c>
      <c r="D61" s="8" t="s">
        <v>122</v>
      </c>
      <c r="E61">
        <f t="shared" si="2"/>
        <v>1</v>
      </c>
      <c r="F61">
        <f t="shared" si="0"/>
        <v>2</v>
      </c>
    </row>
    <row r="62" spans="1:6" ht="15.75" customHeight="1" x14ac:dyDescent="0.3">
      <c r="A62" s="2" t="s">
        <v>15</v>
      </c>
      <c r="B62" s="7">
        <v>45475</v>
      </c>
      <c r="C62" s="7" t="str">
        <f t="shared" si="1"/>
        <v>Tuesday</v>
      </c>
      <c r="D62" s="8" t="s">
        <v>123</v>
      </c>
      <c r="E62">
        <f t="shared" si="2"/>
        <v>0</v>
      </c>
      <c r="F62">
        <f t="shared" si="0"/>
        <v>3</v>
      </c>
    </row>
    <row r="63" spans="1:6" ht="15.75" customHeight="1" x14ac:dyDescent="0.3">
      <c r="A63" s="2" t="s">
        <v>16</v>
      </c>
      <c r="B63" s="7">
        <v>45475</v>
      </c>
      <c r="C63" s="7" t="str">
        <f t="shared" si="1"/>
        <v>Tuesday</v>
      </c>
      <c r="D63" s="8" t="s">
        <v>123</v>
      </c>
      <c r="E63">
        <f t="shared" si="2"/>
        <v>0</v>
      </c>
      <c r="F63">
        <f t="shared" si="0"/>
        <v>0</v>
      </c>
    </row>
    <row r="64" spans="1:6" ht="15.75" customHeight="1" x14ac:dyDescent="0.3">
      <c r="A64" s="2" t="s">
        <v>17</v>
      </c>
      <c r="B64" s="7">
        <v>45475</v>
      </c>
      <c r="C64" s="7" t="str">
        <f t="shared" si="1"/>
        <v>Tuesday</v>
      </c>
      <c r="D64" s="8" t="s">
        <v>122</v>
      </c>
      <c r="E64">
        <f t="shared" si="2"/>
        <v>1</v>
      </c>
      <c r="F64">
        <f t="shared" si="0"/>
        <v>3</v>
      </c>
    </row>
    <row r="65" spans="1:6" ht="15.75" customHeight="1" x14ac:dyDescent="0.3">
      <c r="A65" s="2" t="s">
        <v>18</v>
      </c>
      <c r="B65" s="7">
        <v>45475</v>
      </c>
      <c r="C65" s="7" t="str">
        <f t="shared" si="1"/>
        <v>Tuesday</v>
      </c>
      <c r="D65" s="8" t="s">
        <v>122</v>
      </c>
      <c r="E65">
        <f t="shared" si="2"/>
        <v>1</v>
      </c>
      <c r="F65">
        <f t="shared" si="0"/>
        <v>3</v>
      </c>
    </row>
    <row r="66" spans="1:6" ht="15.75" customHeight="1" x14ac:dyDescent="0.3">
      <c r="A66" s="2" t="s">
        <v>19</v>
      </c>
      <c r="B66" s="7">
        <v>45475</v>
      </c>
      <c r="C66" s="7" t="str">
        <f t="shared" si="1"/>
        <v>Tuesday</v>
      </c>
      <c r="D66" s="8" t="s">
        <v>122</v>
      </c>
      <c r="E66">
        <f t="shared" si="2"/>
        <v>1</v>
      </c>
      <c r="F66">
        <f t="shared" ref="F66:F129" si="3">SUMIF(A:A,A66,E:E)</f>
        <v>3</v>
      </c>
    </row>
    <row r="67" spans="1:6" ht="15.75" customHeight="1" x14ac:dyDescent="0.3">
      <c r="A67" s="2" t="s">
        <v>20</v>
      </c>
      <c r="B67" s="7">
        <v>45475</v>
      </c>
      <c r="C67" s="7" t="str">
        <f t="shared" ref="C67:C130" si="4">TEXT(B67,"dddd")</f>
        <v>Tuesday</v>
      </c>
      <c r="D67" s="8" t="s">
        <v>123</v>
      </c>
      <c r="E67">
        <f t="shared" ref="E67:E130" si="5">IF(D67="Yes",1,0)</f>
        <v>0</v>
      </c>
      <c r="F67">
        <f t="shared" si="3"/>
        <v>2</v>
      </c>
    </row>
    <row r="68" spans="1:6" ht="15.75" customHeight="1" x14ac:dyDescent="0.3">
      <c r="A68" s="2" t="s">
        <v>21</v>
      </c>
      <c r="B68" s="7">
        <v>45475</v>
      </c>
      <c r="C68" s="7" t="str">
        <f t="shared" si="4"/>
        <v>Tuesday</v>
      </c>
      <c r="D68" s="8" t="s">
        <v>123</v>
      </c>
      <c r="E68">
        <f t="shared" si="5"/>
        <v>0</v>
      </c>
      <c r="F68">
        <f t="shared" si="3"/>
        <v>3</v>
      </c>
    </row>
    <row r="69" spans="1:6" ht="15.75" customHeight="1" x14ac:dyDescent="0.3">
      <c r="A69" s="2" t="s">
        <v>22</v>
      </c>
      <c r="B69" s="7">
        <v>45475</v>
      </c>
      <c r="C69" s="7" t="str">
        <f t="shared" si="4"/>
        <v>Tuesday</v>
      </c>
      <c r="D69" s="8" t="s">
        <v>122</v>
      </c>
      <c r="E69">
        <f t="shared" si="5"/>
        <v>1</v>
      </c>
      <c r="F69">
        <f t="shared" si="3"/>
        <v>3</v>
      </c>
    </row>
    <row r="70" spans="1:6" ht="15.75" customHeight="1" x14ac:dyDescent="0.3">
      <c r="A70" s="2" t="s">
        <v>23</v>
      </c>
      <c r="B70" s="7">
        <v>45475</v>
      </c>
      <c r="C70" s="7" t="str">
        <f t="shared" si="4"/>
        <v>Tuesday</v>
      </c>
      <c r="D70" s="8" t="s">
        <v>122</v>
      </c>
      <c r="E70">
        <f t="shared" si="5"/>
        <v>1</v>
      </c>
      <c r="F70">
        <f t="shared" si="3"/>
        <v>3</v>
      </c>
    </row>
    <row r="71" spans="1:6" ht="15.75" customHeight="1" x14ac:dyDescent="0.3">
      <c r="A71" s="2" t="s">
        <v>24</v>
      </c>
      <c r="B71" s="7">
        <v>45475</v>
      </c>
      <c r="C71" s="7" t="str">
        <f t="shared" si="4"/>
        <v>Tuesday</v>
      </c>
      <c r="D71" s="8" t="s">
        <v>123</v>
      </c>
      <c r="E71">
        <f t="shared" si="5"/>
        <v>0</v>
      </c>
      <c r="F71">
        <f t="shared" si="3"/>
        <v>2</v>
      </c>
    </row>
    <row r="72" spans="1:6" ht="15.75" customHeight="1" x14ac:dyDescent="0.3">
      <c r="A72" s="2" t="s">
        <v>25</v>
      </c>
      <c r="B72" s="7">
        <v>45475</v>
      </c>
      <c r="C72" s="7" t="str">
        <f t="shared" si="4"/>
        <v>Tuesday</v>
      </c>
      <c r="D72" s="8" t="s">
        <v>123</v>
      </c>
      <c r="E72">
        <f t="shared" si="5"/>
        <v>0</v>
      </c>
      <c r="F72">
        <f t="shared" si="3"/>
        <v>3</v>
      </c>
    </row>
    <row r="73" spans="1:6" ht="15.75" customHeight="1" x14ac:dyDescent="0.3">
      <c r="A73" s="2" t="s">
        <v>26</v>
      </c>
      <c r="B73" s="7">
        <v>45475</v>
      </c>
      <c r="C73" s="7" t="str">
        <f t="shared" si="4"/>
        <v>Tuesday</v>
      </c>
      <c r="D73" s="8" t="s">
        <v>122</v>
      </c>
      <c r="E73">
        <f t="shared" si="5"/>
        <v>1</v>
      </c>
      <c r="F73">
        <f t="shared" si="3"/>
        <v>1</v>
      </c>
    </row>
    <row r="74" spans="1:6" ht="15.75" customHeight="1" x14ac:dyDescent="0.3">
      <c r="A74" s="2" t="s">
        <v>27</v>
      </c>
      <c r="B74" s="7">
        <v>45475</v>
      </c>
      <c r="C74" s="7" t="str">
        <f t="shared" si="4"/>
        <v>Tuesday</v>
      </c>
      <c r="D74" s="8" t="s">
        <v>122</v>
      </c>
      <c r="E74">
        <f t="shared" si="5"/>
        <v>1</v>
      </c>
      <c r="F74">
        <f t="shared" si="3"/>
        <v>3</v>
      </c>
    </row>
    <row r="75" spans="1:6" ht="15.75" customHeight="1" x14ac:dyDescent="0.3">
      <c r="A75" s="2" t="s">
        <v>28</v>
      </c>
      <c r="B75" s="7">
        <v>45475</v>
      </c>
      <c r="C75" s="7" t="str">
        <f t="shared" si="4"/>
        <v>Tuesday</v>
      </c>
      <c r="D75" s="8" t="s">
        <v>122</v>
      </c>
      <c r="E75">
        <f t="shared" si="5"/>
        <v>1</v>
      </c>
      <c r="F75">
        <f t="shared" si="3"/>
        <v>2</v>
      </c>
    </row>
    <row r="76" spans="1:6" ht="15.75" customHeight="1" x14ac:dyDescent="0.3">
      <c r="A76" s="2" t="s">
        <v>29</v>
      </c>
      <c r="B76" s="7">
        <v>45475</v>
      </c>
      <c r="C76" s="7" t="str">
        <f t="shared" si="4"/>
        <v>Tuesday</v>
      </c>
      <c r="D76" s="8" t="s">
        <v>123</v>
      </c>
      <c r="E76">
        <f t="shared" si="5"/>
        <v>0</v>
      </c>
      <c r="F76">
        <f t="shared" si="3"/>
        <v>2</v>
      </c>
    </row>
    <row r="77" spans="1:6" ht="15.75" customHeight="1" x14ac:dyDescent="0.3">
      <c r="A77" s="2" t="s">
        <v>30</v>
      </c>
      <c r="B77" s="7">
        <v>45475</v>
      </c>
      <c r="C77" s="7" t="str">
        <f t="shared" si="4"/>
        <v>Tuesday</v>
      </c>
      <c r="D77" s="8" t="s">
        <v>122</v>
      </c>
      <c r="E77">
        <f t="shared" si="5"/>
        <v>1</v>
      </c>
      <c r="F77">
        <f t="shared" si="3"/>
        <v>2</v>
      </c>
    </row>
    <row r="78" spans="1:6" ht="15.75" customHeight="1" x14ac:dyDescent="0.3">
      <c r="A78" s="2" t="s">
        <v>31</v>
      </c>
      <c r="B78" s="7">
        <v>45475</v>
      </c>
      <c r="C78" s="7" t="str">
        <f t="shared" si="4"/>
        <v>Tuesday</v>
      </c>
      <c r="D78" s="8" t="s">
        <v>122</v>
      </c>
      <c r="E78">
        <f t="shared" si="5"/>
        <v>1</v>
      </c>
      <c r="F78">
        <f t="shared" si="3"/>
        <v>4</v>
      </c>
    </row>
    <row r="79" spans="1:6" ht="15.75" customHeight="1" x14ac:dyDescent="0.3">
      <c r="A79" s="2" t="s">
        <v>32</v>
      </c>
      <c r="B79" s="7">
        <v>45475</v>
      </c>
      <c r="C79" s="7" t="str">
        <f t="shared" si="4"/>
        <v>Tuesday</v>
      </c>
      <c r="D79" s="8" t="s">
        <v>123</v>
      </c>
      <c r="E79">
        <f t="shared" si="5"/>
        <v>0</v>
      </c>
      <c r="F79">
        <f t="shared" si="3"/>
        <v>0</v>
      </c>
    </row>
    <row r="80" spans="1:6" ht="15.75" customHeight="1" x14ac:dyDescent="0.3">
      <c r="A80" s="2" t="s">
        <v>33</v>
      </c>
      <c r="B80" s="7">
        <v>45475</v>
      </c>
      <c r="C80" s="7" t="str">
        <f t="shared" si="4"/>
        <v>Tuesday</v>
      </c>
      <c r="D80" s="8" t="s">
        <v>123</v>
      </c>
      <c r="E80">
        <f t="shared" si="5"/>
        <v>0</v>
      </c>
      <c r="F80">
        <f t="shared" si="3"/>
        <v>3</v>
      </c>
    </row>
    <row r="81" spans="1:6" ht="15.75" customHeight="1" x14ac:dyDescent="0.3">
      <c r="A81" s="2" t="s">
        <v>34</v>
      </c>
      <c r="B81" s="7">
        <v>45475</v>
      </c>
      <c r="C81" s="7" t="str">
        <f t="shared" si="4"/>
        <v>Tuesday</v>
      </c>
      <c r="D81" s="8" t="s">
        <v>122</v>
      </c>
      <c r="E81">
        <f t="shared" si="5"/>
        <v>1</v>
      </c>
      <c r="F81">
        <f t="shared" si="3"/>
        <v>4</v>
      </c>
    </row>
    <row r="82" spans="1:6" ht="15.75" customHeight="1" x14ac:dyDescent="0.3">
      <c r="A82" s="2" t="s">
        <v>35</v>
      </c>
      <c r="B82" s="7">
        <v>45475</v>
      </c>
      <c r="C82" s="7" t="str">
        <f t="shared" si="4"/>
        <v>Tuesday</v>
      </c>
      <c r="D82" s="8" t="s">
        <v>123</v>
      </c>
      <c r="E82">
        <f t="shared" si="5"/>
        <v>0</v>
      </c>
      <c r="F82">
        <f t="shared" si="3"/>
        <v>2</v>
      </c>
    </row>
    <row r="83" spans="1:6" ht="15.75" customHeight="1" x14ac:dyDescent="0.3">
      <c r="A83" s="2" t="s">
        <v>36</v>
      </c>
      <c r="B83" s="7">
        <v>45475</v>
      </c>
      <c r="C83" s="7" t="str">
        <f t="shared" si="4"/>
        <v>Tuesday</v>
      </c>
      <c r="D83" s="8" t="s">
        <v>123</v>
      </c>
      <c r="E83">
        <f t="shared" si="5"/>
        <v>0</v>
      </c>
      <c r="F83">
        <f t="shared" si="3"/>
        <v>2</v>
      </c>
    </row>
    <row r="84" spans="1:6" ht="15.75" customHeight="1" x14ac:dyDescent="0.3">
      <c r="A84" s="2" t="s">
        <v>37</v>
      </c>
      <c r="B84" s="7">
        <v>45475</v>
      </c>
      <c r="C84" s="7" t="str">
        <f t="shared" si="4"/>
        <v>Tuesday</v>
      </c>
      <c r="D84" s="8" t="s">
        <v>122</v>
      </c>
      <c r="E84">
        <f t="shared" si="5"/>
        <v>1</v>
      </c>
      <c r="F84">
        <f t="shared" si="3"/>
        <v>5</v>
      </c>
    </row>
    <row r="85" spans="1:6" ht="15.75" customHeight="1" x14ac:dyDescent="0.3">
      <c r="A85" s="2" t="s">
        <v>38</v>
      </c>
      <c r="B85" s="7">
        <v>45475</v>
      </c>
      <c r="C85" s="7" t="str">
        <f t="shared" si="4"/>
        <v>Tuesday</v>
      </c>
      <c r="D85" s="8" t="s">
        <v>123</v>
      </c>
      <c r="E85">
        <f t="shared" si="5"/>
        <v>0</v>
      </c>
      <c r="F85">
        <f t="shared" si="3"/>
        <v>2</v>
      </c>
    </row>
    <row r="86" spans="1:6" ht="15.75" customHeight="1" x14ac:dyDescent="0.3">
      <c r="A86" s="2" t="s">
        <v>39</v>
      </c>
      <c r="B86" s="7">
        <v>45475</v>
      </c>
      <c r="C86" s="7" t="str">
        <f t="shared" si="4"/>
        <v>Tuesday</v>
      </c>
      <c r="D86" s="8" t="s">
        <v>122</v>
      </c>
      <c r="E86">
        <f t="shared" si="5"/>
        <v>1</v>
      </c>
      <c r="F86">
        <f t="shared" si="3"/>
        <v>3</v>
      </c>
    </row>
    <row r="87" spans="1:6" ht="15.75" customHeight="1" x14ac:dyDescent="0.3">
      <c r="A87" s="2" t="s">
        <v>40</v>
      </c>
      <c r="B87" s="7">
        <v>45475</v>
      </c>
      <c r="C87" s="7" t="str">
        <f t="shared" si="4"/>
        <v>Tuesday</v>
      </c>
      <c r="D87" s="8" t="s">
        <v>122</v>
      </c>
      <c r="E87">
        <f t="shared" si="5"/>
        <v>1</v>
      </c>
      <c r="F87">
        <f t="shared" si="3"/>
        <v>3</v>
      </c>
    </row>
    <row r="88" spans="1:6" ht="15.75" customHeight="1" x14ac:dyDescent="0.3">
      <c r="A88" s="2" t="s">
        <v>41</v>
      </c>
      <c r="B88" s="7">
        <v>45475</v>
      </c>
      <c r="C88" s="7" t="str">
        <f t="shared" si="4"/>
        <v>Tuesday</v>
      </c>
      <c r="D88" s="8" t="s">
        <v>122</v>
      </c>
      <c r="E88">
        <f t="shared" si="5"/>
        <v>1</v>
      </c>
      <c r="F88">
        <f t="shared" si="3"/>
        <v>4</v>
      </c>
    </row>
    <row r="89" spans="1:6" ht="15.75" customHeight="1" x14ac:dyDescent="0.3">
      <c r="A89" s="2" t="s">
        <v>42</v>
      </c>
      <c r="B89" s="7">
        <v>45475</v>
      </c>
      <c r="C89" s="7" t="str">
        <f t="shared" si="4"/>
        <v>Tuesday</v>
      </c>
      <c r="D89" s="8" t="s">
        <v>122</v>
      </c>
      <c r="E89">
        <f t="shared" si="5"/>
        <v>1</v>
      </c>
      <c r="F89">
        <f t="shared" si="3"/>
        <v>3</v>
      </c>
    </row>
    <row r="90" spans="1:6" ht="15.75" customHeight="1" x14ac:dyDescent="0.3">
      <c r="A90" s="2" t="s">
        <v>43</v>
      </c>
      <c r="B90" s="7">
        <v>45475</v>
      </c>
      <c r="C90" s="7" t="str">
        <f t="shared" si="4"/>
        <v>Tuesday</v>
      </c>
      <c r="D90" s="8" t="s">
        <v>122</v>
      </c>
      <c r="E90">
        <f t="shared" si="5"/>
        <v>1</v>
      </c>
      <c r="F90">
        <f t="shared" si="3"/>
        <v>4</v>
      </c>
    </row>
    <row r="91" spans="1:6" ht="15.75" customHeight="1" x14ac:dyDescent="0.3">
      <c r="A91" s="2" t="s">
        <v>44</v>
      </c>
      <c r="B91" s="7">
        <v>45475</v>
      </c>
      <c r="C91" s="7" t="str">
        <f t="shared" si="4"/>
        <v>Tuesday</v>
      </c>
      <c r="D91" s="8" t="s">
        <v>123</v>
      </c>
      <c r="E91">
        <f t="shared" si="5"/>
        <v>0</v>
      </c>
      <c r="F91">
        <f t="shared" si="3"/>
        <v>1</v>
      </c>
    </row>
    <row r="92" spans="1:6" ht="15.75" customHeight="1" x14ac:dyDescent="0.3">
      <c r="A92" s="2" t="s">
        <v>45</v>
      </c>
      <c r="B92" s="7">
        <v>45475</v>
      </c>
      <c r="C92" s="7" t="str">
        <f t="shared" si="4"/>
        <v>Tuesday</v>
      </c>
      <c r="D92" s="8" t="s">
        <v>123</v>
      </c>
      <c r="E92">
        <f t="shared" si="5"/>
        <v>0</v>
      </c>
      <c r="F92">
        <f t="shared" si="3"/>
        <v>4</v>
      </c>
    </row>
    <row r="93" spans="1:6" ht="15.75" customHeight="1" x14ac:dyDescent="0.3">
      <c r="A93" s="2" t="s">
        <v>46</v>
      </c>
      <c r="B93" s="7">
        <v>45475</v>
      </c>
      <c r="C93" s="7" t="str">
        <f t="shared" si="4"/>
        <v>Tuesday</v>
      </c>
      <c r="D93" s="8" t="s">
        <v>123</v>
      </c>
      <c r="E93">
        <f t="shared" si="5"/>
        <v>0</v>
      </c>
      <c r="F93">
        <f t="shared" si="3"/>
        <v>1</v>
      </c>
    </row>
    <row r="94" spans="1:6" ht="15.75" customHeight="1" x14ac:dyDescent="0.3">
      <c r="A94" s="2" t="s">
        <v>47</v>
      </c>
      <c r="B94" s="7">
        <v>45475</v>
      </c>
      <c r="C94" s="7" t="str">
        <f t="shared" si="4"/>
        <v>Tuesday</v>
      </c>
      <c r="D94" s="8" t="s">
        <v>122</v>
      </c>
      <c r="E94">
        <f t="shared" si="5"/>
        <v>1</v>
      </c>
      <c r="F94">
        <f t="shared" si="3"/>
        <v>2</v>
      </c>
    </row>
    <row r="95" spans="1:6" ht="15.75" customHeight="1" x14ac:dyDescent="0.3">
      <c r="A95" s="2" t="s">
        <v>48</v>
      </c>
      <c r="B95" s="7">
        <v>45475</v>
      </c>
      <c r="C95" s="7" t="str">
        <f t="shared" si="4"/>
        <v>Tuesday</v>
      </c>
      <c r="D95" s="8" t="s">
        <v>122</v>
      </c>
      <c r="E95">
        <f t="shared" si="5"/>
        <v>1</v>
      </c>
      <c r="F95">
        <f t="shared" si="3"/>
        <v>2</v>
      </c>
    </row>
    <row r="96" spans="1:6" ht="15.75" customHeight="1" x14ac:dyDescent="0.3">
      <c r="A96" s="2" t="s">
        <v>49</v>
      </c>
      <c r="B96" s="7">
        <v>45475</v>
      </c>
      <c r="C96" s="7" t="str">
        <f t="shared" si="4"/>
        <v>Tuesday</v>
      </c>
      <c r="D96" s="8" t="s">
        <v>123</v>
      </c>
      <c r="E96">
        <f t="shared" si="5"/>
        <v>0</v>
      </c>
      <c r="F96">
        <f t="shared" si="3"/>
        <v>3</v>
      </c>
    </row>
    <row r="97" spans="1:6" ht="15.75" customHeight="1" x14ac:dyDescent="0.3">
      <c r="A97" s="2" t="s">
        <v>50</v>
      </c>
      <c r="B97" s="7">
        <v>45475</v>
      </c>
      <c r="C97" s="7" t="str">
        <f t="shared" si="4"/>
        <v>Tuesday</v>
      </c>
      <c r="D97" s="8" t="s">
        <v>122</v>
      </c>
      <c r="E97">
        <f t="shared" si="5"/>
        <v>1</v>
      </c>
      <c r="F97">
        <f t="shared" si="3"/>
        <v>2</v>
      </c>
    </row>
    <row r="98" spans="1:6" ht="15.75" customHeight="1" x14ac:dyDescent="0.3">
      <c r="A98" s="2" t="s">
        <v>51</v>
      </c>
      <c r="B98" s="7">
        <v>45475</v>
      </c>
      <c r="C98" s="7" t="str">
        <f t="shared" si="4"/>
        <v>Tuesday</v>
      </c>
      <c r="D98" s="8" t="s">
        <v>122</v>
      </c>
      <c r="E98">
        <f t="shared" si="5"/>
        <v>1</v>
      </c>
      <c r="F98">
        <f t="shared" si="3"/>
        <v>4</v>
      </c>
    </row>
    <row r="99" spans="1:6" ht="15.75" customHeight="1" x14ac:dyDescent="0.3">
      <c r="A99" s="2" t="s">
        <v>52</v>
      </c>
      <c r="B99" s="7">
        <v>45475</v>
      </c>
      <c r="C99" s="7" t="str">
        <f t="shared" si="4"/>
        <v>Tuesday</v>
      </c>
      <c r="D99" s="8" t="s">
        <v>123</v>
      </c>
      <c r="E99">
        <f t="shared" si="5"/>
        <v>0</v>
      </c>
      <c r="F99">
        <f t="shared" si="3"/>
        <v>0</v>
      </c>
    </row>
    <row r="100" spans="1:6" ht="15.75" customHeight="1" x14ac:dyDescent="0.3">
      <c r="A100" s="2" t="s">
        <v>53</v>
      </c>
      <c r="B100" s="7">
        <v>45475</v>
      </c>
      <c r="C100" s="7" t="str">
        <f t="shared" si="4"/>
        <v>Tuesday</v>
      </c>
      <c r="D100" s="8" t="s">
        <v>123</v>
      </c>
      <c r="E100">
        <f t="shared" si="5"/>
        <v>0</v>
      </c>
      <c r="F100">
        <f t="shared" si="3"/>
        <v>2</v>
      </c>
    </row>
    <row r="101" spans="1:6" ht="15.75" customHeight="1" x14ac:dyDescent="0.3">
      <c r="A101" s="2" t="s">
        <v>54</v>
      </c>
      <c r="B101" s="7">
        <v>45475</v>
      </c>
      <c r="C101" s="7" t="str">
        <f t="shared" si="4"/>
        <v>Tuesday</v>
      </c>
      <c r="D101" s="8" t="s">
        <v>123</v>
      </c>
      <c r="E101">
        <f t="shared" si="5"/>
        <v>0</v>
      </c>
      <c r="F101">
        <f t="shared" si="3"/>
        <v>1</v>
      </c>
    </row>
    <row r="102" spans="1:6" ht="15.75" customHeight="1" x14ac:dyDescent="0.3">
      <c r="A102" s="2" t="s">
        <v>5</v>
      </c>
      <c r="B102" s="7">
        <v>45476</v>
      </c>
      <c r="C102" s="7" t="str">
        <f t="shared" si="4"/>
        <v>Wednesday</v>
      </c>
      <c r="D102" s="8" t="s">
        <v>123</v>
      </c>
      <c r="E102">
        <f t="shared" si="5"/>
        <v>0</v>
      </c>
      <c r="F102">
        <f t="shared" si="3"/>
        <v>2</v>
      </c>
    </row>
    <row r="103" spans="1:6" ht="15.75" customHeight="1" x14ac:dyDescent="0.3">
      <c r="A103" s="2" t="s">
        <v>6</v>
      </c>
      <c r="B103" s="7">
        <v>45476</v>
      </c>
      <c r="C103" s="7" t="str">
        <f t="shared" si="4"/>
        <v>Wednesday</v>
      </c>
      <c r="D103" s="8" t="s">
        <v>122</v>
      </c>
      <c r="E103">
        <f t="shared" si="5"/>
        <v>1</v>
      </c>
      <c r="F103">
        <f t="shared" si="3"/>
        <v>3</v>
      </c>
    </row>
    <row r="104" spans="1:6" ht="15.75" customHeight="1" x14ac:dyDescent="0.3">
      <c r="A104" s="2" t="s">
        <v>7</v>
      </c>
      <c r="B104" s="7">
        <v>45476</v>
      </c>
      <c r="C104" s="7" t="str">
        <f t="shared" si="4"/>
        <v>Wednesday</v>
      </c>
      <c r="D104" s="8" t="s">
        <v>122</v>
      </c>
      <c r="E104">
        <f t="shared" si="5"/>
        <v>1</v>
      </c>
      <c r="F104">
        <f t="shared" si="3"/>
        <v>2</v>
      </c>
    </row>
    <row r="105" spans="1:6" ht="15.75" customHeight="1" x14ac:dyDescent="0.3">
      <c r="A105" s="2" t="s">
        <v>8</v>
      </c>
      <c r="B105" s="7">
        <v>45476</v>
      </c>
      <c r="C105" s="7" t="str">
        <f t="shared" si="4"/>
        <v>Wednesday</v>
      </c>
      <c r="D105" s="8" t="s">
        <v>122</v>
      </c>
      <c r="E105">
        <f t="shared" si="5"/>
        <v>1</v>
      </c>
      <c r="F105">
        <f t="shared" si="3"/>
        <v>2</v>
      </c>
    </row>
    <row r="106" spans="1:6" ht="15.75" customHeight="1" x14ac:dyDescent="0.3">
      <c r="A106" s="2" t="s">
        <v>9</v>
      </c>
      <c r="B106" s="7">
        <v>45476</v>
      </c>
      <c r="C106" s="7" t="str">
        <f t="shared" si="4"/>
        <v>Wednesday</v>
      </c>
      <c r="D106" s="8" t="s">
        <v>122</v>
      </c>
      <c r="E106">
        <f t="shared" si="5"/>
        <v>1</v>
      </c>
      <c r="F106">
        <f t="shared" si="3"/>
        <v>3</v>
      </c>
    </row>
    <row r="107" spans="1:6" ht="15.75" customHeight="1" x14ac:dyDescent="0.3">
      <c r="A107" s="2" t="s">
        <v>10</v>
      </c>
      <c r="B107" s="7">
        <v>45476</v>
      </c>
      <c r="C107" s="7" t="str">
        <f t="shared" si="4"/>
        <v>Wednesday</v>
      </c>
      <c r="D107" s="8" t="s">
        <v>122</v>
      </c>
      <c r="E107">
        <f t="shared" si="5"/>
        <v>1</v>
      </c>
      <c r="F107">
        <f t="shared" si="3"/>
        <v>3</v>
      </c>
    </row>
    <row r="108" spans="1:6" ht="15.75" customHeight="1" x14ac:dyDescent="0.3">
      <c r="A108" s="2" t="s">
        <v>11</v>
      </c>
      <c r="B108" s="7">
        <v>45476</v>
      </c>
      <c r="C108" s="7" t="str">
        <f t="shared" si="4"/>
        <v>Wednesday</v>
      </c>
      <c r="D108" s="8" t="s">
        <v>122</v>
      </c>
      <c r="E108">
        <f t="shared" si="5"/>
        <v>1</v>
      </c>
      <c r="F108">
        <f t="shared" si="3"/>
        <v>4</v>
      </c>
    </row>
    <row r="109" spans="1:6" ht="15.75" customHeight="1" x14ac:dyDescent="0.3">
      <c r="A109" s="2" t="s">
        <v>12</v>
      </c>
      <c r="B109" s="7">
        <v>45476</v>
      </c>
      <c r="C109" s="7" t="str">
        <f t="shared" si="4"/>
        <v>Wednesday</v>
      </c>
      <c r="D109" s="8" t="s">
        <v>122</v>
      </c>
      <c r="E109">
        <f t="shared" si="5"/>
        <v>1</v>
      </c>
      <c r="F109">
        <f t="shared" si="3"/>
        <v>3</v>
      </c>
    </row>
    <row r="110" spans="1:6" ht="15.75" customHeight="1" x14ac:dyDescent="0.3">
      <c r="A110" s="2" t="s">
        <v>13</v>
      </c>
      <c r="B110" s="7">
        <v>45476</v>
      </c>
      <c r="C110" s="7" t="str">
        <f t="shared" si="4"/>
        <v>Wednesday</v>
      </c>
      <c r="D110" s="8" t="s">
        <v>122</v>
      </c>
      <c r="E110">
        <f t="shared" si="5"/>
        <v>1</v>
      </c>
      <c r="F110">
        <f t="shared" si="3"/>
        <v>4</v>
      </c>
    </row>
    <row r="111" spans="1:6" ht="15.75" customHeight="1" x14ac:dyDescent="0.3">
      <c r="A111" s="2" t="s">
        <v>14</v>
      </c>
      <c r="B111" s="7">
        <v>45476</v>
      </c>
      <c r="C111" s="7" t="str">
        <f t="shared" si="4"/>
        <v>Wednesday</v>
      </c>
      <c r="D111" s="8" t="s">
        <v>122</v>
      </c>
      <c r="E111">
        <f t="shared" si="5"/>
        <v>1</v>
      </c>
      <c r="F111">
        <f t="shared" si="3"/>
        <v>2</v>
      </c>
    </row>
    <row r="112" spans="1:6" ht="15.75" customHeight="1" x14ac:dyDescent="0.3">
      <c r="A112" s="2" t="s">
        <v>15</v>
      </c>
      <c r="B112" s="7">
        <v>45476</v>
      </c>
      <c r="C112" s="7" t="str">
        <f t="shared" si="4"/>
        <v>Wednesday</v>
      </c>
      <c r="D112" s="8" t="s">
        <v>122</v>
      </c>
      <c r="E112">
        <f t="shared" si="5"/>
        <v>1</v>
      </c>
      <c r="F112">
        <f t="shared" si="3"/>
        <v>3</v>
      </c>
    </row>
    <row r="113" spans="1:6" ht="15.75" customHeight="1" x14ac:dyDescent="0.3">
      <c r="A113" s="2" t="s">
        <v>16</v>
      </c>
      <c r="B113" s="7">
        <v>45476</v>
      </c>
      <c r="C113" s="7" t="str">
        <f t="shared" si="4"/>
        <v>Wednesday</v>
      </c>
      <c r="D113" s="8" t="s">
        <v>123</v>
      </c>
      <c r="E113">
        <f t="shared" si="5"/>
        <v>0</v>
      </c>
      <c r="F113">
        <f t="shared" si="3"/>
        <v>0</v>
      </c>
    </row>
    <row r="114" spans="1:6" ht="15.75" customHeight="1" x14ac:dyDescent="0.3">
      <c r="A114" s="2" t="s">
        <v>17</v>
      </c>
      <c r="B114" s="7">
        <v>45476</v>
      </c>
      <c r="C114" s="7" t="str">
        <f t="shared" si="4"/>
        <v>Wednesday</v>
      </c>
      <c r="D114" s="8" t="s">
        <v>123</v>
      </c>
      <c r="E114">
        <f t="shared" si="5"/>
        <v>0</v>
      </c>
      <c r="F114">
        <f t="shared" si="3"/>
        <v>3</v>
      </c>
    </row>
    <row r="115" spans="1:6" ht="15.75" customHeight="1" x14ac:dyDescent="0.3">
      <c r="A115" s="2" t="s">
        <v>18</v>
      </c>
      <c r="B115" s="7">
        <v>45476</v>
      </c>
      <c r="C115" s="7" t="str">
        <f t="shared" si="4"/>
        <v>Wednesday</v>
      </c>
      <c r="D115" s="8" t="s">
        <v>123</v>
      </c>
      <c r="E115">
        <f t="shared" si="5"/>
        <v>0</v>
      </c>
      <c r="F115">
        <f t="shared" si="3"/>
        <v>3</v>
      </c>
    </row>
    <row r="116" spans="1:6" ht="15.75" customHeight="1" x14ac:dyDescent="0.3">
      <c r="A116" s="2" t="s">
        <v>19</v>
      </c>
      <c r="B116" s="7">
        <v>45476</v>
      </c>
      <c r="C116" s="7" t="str">
        <f t="shared" si="4"/>
        <v>Wednesday</v>
      </c>
      <c r="D116" s="8" t="s">
        <v>123</v>
      </c>
      <c r="E116">
        <f t="shared" si="5"/>
        <v>0</v>
      </c>
      <c r="F116">
        <f t="shared" si="3"/>
        <v>3</v>
      </c>
    </row>
    <row r="117" spans="1:6" ht="15.75" customHeight="1" x14ac:dyDescent="0.3">
      <c r="A117" s="2" t="s">
        <v>20</v>
      </c>
      <c r="B117" s="7">
        <v>45476</v>
      </c>
      <c r="C117" s="7" t="str">
        <f t="shared" si="4"/>
        <v>Wednesday</v>
      </c>
      <c r="D117" s="8" t="s">
        <v>123</v>
      </c>
      <c r="E117">
        <f t="shared" si="5"/>
        <v>0</v>
      </c>
      <c r="F117">
        <f t="shared" si="3"/>
        <v>2</v>
      </c>
    </row>
    <row r="118" spans="1:6" ht="15.75" customHeight="1" x14ac:dyDescent="0.3">
      <c r="A118" s="2" t="s">
        <v>21</v>
      </c>
      <c r="B118" s="7">
        <v>45476</v>
      </c>
      <c r="C118" s="7" t="str">
        <f t="shared" si="4"/>
        <v>Wednesday</v>
      </c>
      <c r="D118" s="8" t="s">
        <v>122</v>
      </c>
      <c r="E118">
        <f t="shared" si="5"/>
        <v>1</v>
      </c>
      <c r="F118">
        <f t="shared" si="3"/>
        <v>3</v>
      </c>
    </row>
    <row r="119" spans="1:6" ht="15.75" customHeight="1" x14ac:dyDescent="0.3">
      <c r="A119" s="2" t="s">
        <v>22</v>
      </c>
      <c r="B119" s="7">
        <v>45476</v>
      </c>
      <c r="C119" s="7" t="str">
        <f t="shared" si="4"/>
        <v>Wednesday</v>
      </c>
      <c r="D119" s="8" t="s">
        <v>122</v>
      </c>
      <c r="E119">
        <f t="shared" si="5"/>
        <v>1</v>
      </c>
      <c r="F119">
        <f t="shared" si="3"/>
        <v>3</v>
      </c>
    </row>
    <row r="120" spans="1:6" ht="15.75" customHeight="1" x14ac:dyDescent="0.3">
      <c r="A120" s="2" t="s">
        <v>23</v>
      </c>
      <c r="B120" s="7">
        <v>45476</v>
      </c>
      <c r="C120" s="7" t="str">
        <f t="shared" si="4"/>
        <v>Wednesday</v>
      </c>
      <c r="D120" s="8" t="s">
        <v>122</v>
      </c>
      <c r="E120">
        <f t="shared" si="5"/>
        <v>1</v>
      </c>
      <c r="F120">
        <f t="shared" si="3"/>
        <v>3</v>
      </c>
    </row>
    <row r="121" spans="1:6" ht="15.75" customHeight="1" x14ac:dyDescent="0.3">
      <c r="A121" s="2" t="s">
        <v>24</v>
      </c>
      <c r="B121" s="7">
        <v>45476</v>
      </c>
      <c r="C121" s="7" t="str">
        <f t="shared" si="4"/>
        <v>Wednesday</v>
      </c>
      <c r="D121" s="8" t="s">
        <v>123</v>
      </c>
      <c r="E121">
        <f t="shared" si="5"/>
        <v>0</v>
      </c>
      <c r="F121">
        <f t="shared" si="3"/>
        <v>2</v>
      </c>
    </row>
    <row r="122" spans="1:6" ht="15.75" customHeight="1" x14ac:dyDescent="0.3">
      <c r="A122" s="2" t="s">
        <v>25</v>
      </c>
      <c r="B122" s="7">
        <v>45476</v>
      </c>
      <c r="C122" s="7" t="str">
        <f t="shared" si="4"/>
        <v>Wednesday</v>
      </c>
      <c r="D122" s="8" t="s">
        <v>122</v>
      </c>
      <c r="E122">
        <f t="shared" si="5"/>
        <v>1</v>
      </c>
      <c r="F122">
        <f t="shared" si="3"/>
        <v>3</v>
      </c>
    </row>
    <row r="123" spans="1:6" ht="15.75" customHeight="1" x14ac:dyDescent="0.3">
      <c r="A123" s="2" t="s">
        <v>26</v>
      </c>
      <c r="B123" s="7">
        <v>45476</v>
      </c>
      <c r="C123" s="7" t="str">
        <f t="shared" si="4"/>
        <v>Wednesday</v>
      </c>
      <c r="D123" s="8" t="s">
        <v>123</v>
      </c>
      <c r="E123">
        <f t="shared" si="5"/>
        <v>0</v>
      </c>
      <c r="F123">
        <f t="shared" si="3"/>
        <v>1</v>
      </c>
    </row>
    <row r="124" spans="1:6" ht="15.75" customHeight="1" x14ac:dyDescent="0.3">
      <c r="A124" s="2" t="s">
        <v>27</v>
      </c>
      <c r="B124" s="7">
        <v>45476</v>
      </c>
      <c r="C124" s="7" t="str">
        <f t="shared" si="4"/>
        <v>Wednesday</v>
      </c>
      <c r="D124" s="8" t="s">
        <v>123</v>
      </c>
      <c r="E124">
        <f t="shared" si="5"/>
        <v>0</v>
      </c>
      <c r="F124">
        <f t="shared" si="3"/>
        <v>3</v>
      </c>
    </row>
    <row r="125" spans="1:6" ht="15.75" customHeight="1" x14ac:dyDescent="0.3">
      <c r="A125" s="2" t="s">
        <v>28</v>
      </c>
      <c r="B125" s="7">
        <v>45476</v>
      </c>
      <c r="C125" s="7" t="str">
        <f t="shared" si="4"/>
        <v>Wednesday</v>
      </c>
      <c r="D125" s="8" t="s">
        <v>122</v>
      </c>
      <c r="E125">
        <f t="shared" si="5"/>
        <v>1</v>
      </c>
      <c r="F125">
        <f t="shared" si="3"/>
        <v>2</v>
      </c>
    </row>
    <row r="126" spans="1:6" ht="15.75" customHeight="1" x14ac:dyDescent="0.3">
      <c r="A126" s="2" t="s">
        <v>29</v>
      </c>
      <c r="B126" s="7">
        <v>45476</v>
      </c>
      <c r="C126" s="7" t="str">
        <f t="shared" si="4"/>
        <v>Wednesday</v>
      </c>
      <c r="D126" s="8" t="s">
        <v>123</v>
      </c>
      <c r="E126">
        <f t="shared" si="5"/>
        <v>0</v>
      </c>
      <c r="F126">
        <f t="shared" si="3"/>
        <v>2</v>
      </c>
    </row>
    <row r="127" spans="1:6" ht="15.75" customHeight="1" x14ac:dyDescent="0.3">
      <c r="A127" s="2" t="s">
        <v>30</v>
      </c>
      <c r="B127" s="7">
        <v>45476</v>
      </c>
      <c r="C127" s="7" t="str">
        <f t="shared" si="4"/>
        <v>Wednesday</v>
      </c>
      <c r="D127" s="8" t="s">
        <v>123</v>
      </c>
      <c r="E127">
        <f t="shared" si="5"/>
        <v>0</v>
      </c>
      <c r="F127">
        <f t="shared" si="3"/>
        <v>2</v>
      </c>
    </row>
    <row r="128" spans="1:6" ht="15.75" customHeight="1" x14ac:dyDescent="0.3">
      <c r="A128" s="2" t="s">
        <v>31</v>
      </c>
      <c r="B128" s="7">
        <v>45476</v>
      </c>
      <c r="C128" s="7" t="str">
        <f t="shared" si="4"/>
        <v>Wednesday</v>
      </c>
      <c r="D128" s="8" t="s">
        <v>123</v>
      </c>
      <c r="E128">
        <f t="shared" si="5"/>
        <v>0</v>
      </c>
      <c r="F128">
        <f t="shared" si="3"/>
        <v>4</v>
      </c>
    </row>
    <row r="129" spans="1:6" ht="15.75" customHeight="1" x14ac:dyDescent="0.3">
      <c r="A129" s="2" t="s">
        <v>32</v>
      </c>
      <c r="B129" s="7">
        <v>45476</v>
      </c>
      <c r="C129" s="7" t="str">
        <f t="shared" si="4"/>
        <v>Wednesday</v>
      </c>
      <c r="D129" s="8" t="s">
        <v>123</v>
      </c>
      <c r="E129">
        <f t="shared" si="5"/>
        <v>0</v>
      </c>
      <c r="F129">
        <f t="shared" si="3"/>
        <v>0</v>
      </c>
    </row>
    <row r="130" spans="1:6" ht="15.75" customHeight="1" x14ac:dyDescent="0.3">
      <c r="A130" s="2" t="s">
        <v>33</v>
      </c>
      <c r="B130" s="7">
        <v>45476</v>
      </c>
      <c r="C130" s="7" t="str">
        <f t="shared" si="4"/>
        <v>Wednesday</v>
      </c>
      <c r="D130" s="8" t="s">
        <v>123</v>
      </c>
      <c r="E130">
        <f t="shared" si="5"/>
        <v>0</v>
      </c>
      <c r="F130">
        <f t="shared" ref="F130:F193" si="6">SUMIF(A:A,A130,E:E)</f>
        <v>3</v>
      </c>
    </row>
    <row r="131" spans="1:6" ht="15.75" customHeight="1" x14ac:dyDescent="0.3">
      <c r="A131" s="2" t="s">
        <v>34</v>
      </c>
      <c r="B131" s="7">
        <v>45476</v>
      </c>
      <c r="C131" s="7" t="str">
        <f t="shared" ref="C131:C194" si="7">TEXT(B131,"dddd")</f>
        <v>Wednesday</v>
      </c>
      <c r="D131" s="8" t="s">
        <v>122</v>
      </c>
      <c r="E131">
        <f t="shared" ref="E131:E194" si="8">IF(D131="Yes",1,0)</f>
        <v>1</v>
      </c>
      <c r="F131">
        <f t="shared" si="6"/>
        <v>4</v>
      </c>
    </row>
    <row r="132" spans="1:6" ht="15.75" customHeight="1" x14ac:dyDescent="0.3">
      <c r="A132" s="2" t="s">
        <v>35</v>
      </c>
      <c r="B132" s="7">
        <v>45476</v>
      </c>
      <c r="C132" s="7" t="str">
        <f t="shared" si="7"/>
        <v>Wednesday</v>
      </c>
      <c r="D132" s="8" t="s">
        <v>123</v>
      </c>
      <c r="E132">
        <f t="shared" si="8"/>
        <v>0</v>
      </c>
      <c r="F132">
        <f t="shared" si="6"/>
        <v>2</v>
      </c>
    </row>
    <row r="133" spans="1:6" ht="15.75" customHeight="1" x14ac:dyDescent="0.3">
      <c r="A133" s="2" t="s">
        <v>36</v>
      </c>
      <c r="B133" s="7">
        <v>45476</v>
      </c>
      <c r="C133" s="7" t="str">
        <f t="shared" si="7"/>
        <v>Wednesday</v>
      </c>
      <c r="D133" s="8" t="s">
        <v>123</v>
      </c>
      <c r="E133">
        <f t="shared" si="8"/>
        <v>0</v>
      </c>
      <c r="F133">
        <f t="shared" si="6"/>
        <v>2</v>
      </c>
    </row>
    <row r="134" spans="1:6" ht="15.75" customHeight="1" x14ac:dyDescent="0.3">
      <c r="A134" s="2" t="s">
        <v>37</v>
      </c>
      <c r="B134" s="7">
        <v>45476</v>
      </c>
      <c r="C134" s="7" t="str">
        <f t="shared" si="7"/>
        <v>Wednesday</v>
      </c>
      <c r="D134" s="8" t="s">
        <v>122</v>
      </c>
      <c r="E134">
        <f t="shared" si="8"/>
        <v>1</v>
      </c>
      <c r="F134">
        <f t="shared" si="6"/>
        <v>5</v>
      </c>
    </row>
    <row r="135" spans="1:6" ht="15.75" customHeight="1" x14ac:dyDescent="0.3">
      <c r="A135" s="2" t="s">
        <v>38</v>
      </c>
      <c r="B135" s="7">
        <v>45476</v>
      </c>
      <c r="C135" s="7" t="str">
        <f t="shared" si="7"/>
        <v>Wednesday</v>
      </c>
      <c r="D135" s="8" t="s">
        <v>122</v>
      </c>
      <c r="E135">
        <f t="shared" si="8"/>
        <v>1</v>
      </c>
      <c r="F135">
        <f t="shared" si="6"/>
        <v>2</v>
      </c>
    </row>
    <row r="136" spans="1:6" ht="15.75" customHeight="1" x14ac:dyDescent="0.3">
      <c r="A136" s="2" t="s">
        <v>39</v>
      </c>
      <c r="B136" s="7">
        <v>45476</v>
      </c>
      <c r="C136" s="7" t="str">
        <f t="shared" si="7"/>
        <v>Wednesday</v>
      </c>
      <c r="D136" s="8" t="s">
        <v>123</v>
      </c>
      <c r="E136">
        <f t="shared" si="8"/>
        <v>0</v>
      </c>
      <c r="F136">
        <f t="shared" si="6"/>
        <v>3</v>
      </c>
    </row>
    <row r="137" spans="1:6" ht="15.75" customHeight="1" x14ac:dyDescent="0.3">
      <c r="A137" s="2" t="s">
        <v>40</v>
      </c>
      <c r="B137" s="7">
        <v>45476</v>
      </c>
      <c r="C137" s="7" t="str">
        <f t="shared" si="7"/>
        <v>Wednesday</v>
      </c>
      <c r="D137" s="8" t="s">
        <v>122</v>
      </c>
      <c r="E137">
        <f t="shared" si="8"/>
        <v>1</v>
      </c>
      <c r="F137">
        <f t="shared" si="6"/>
        <v>3</v>
      </c>
    </row>
    <row r="138" spans="1:6" ht="15.75" customHeight="1" x14ac:dyDescent="0.3">
      <c r="A138" s="2" t="s">
        <v>41</v>
      </c>
      <c r="B138" s="7">
        <v>45476</v>
      </c>
      <c r="C138" s="7" t="str">
        <f t="shared" si="7"/>
        <v>Wednesday</v>
      </c>
      <c r="D138" s="8" t="s">
        <v>122</v>
      </c>
      <c r="E138">
        <f t="shared" si="8"/>
        <v>1</v>
      </c>
      <c r="F138">
        <f t="shared" si="6"/>
        <v>4</v>
      </c>
    </row>
    <row r="139" spans="1:6" ht="15.75" customHeight="1" x14ac:dyDescent="0.3">
      <c r="A139" s="2" t="s">
        <v>42</v>
      </c>
      <c r="B139" s="7">
        <v>45476</v>
      </c>
      <c r="C139" s="7" t="str">
        <f t="shared" si="7"/>
        <v>Wednesday</v>
      </c>
      <c r="D139" s="8" t="s">
        <v>123</v>
      </c>
      <c r="E139">
        <f t="shared" si="8"/>
        <v>0</v>
      </c>
      <c r="F139">
        <f t="shared" si="6"/>
        <v>3</v>
      </c>
    </row>
    <row r="140" spans="1:6" ht="15.75" customHeight="1" x14ac:dyDescent="0.3">
      <c r="A140" s="2" t="s">
        <v>43</v>
      </c>
      <c r="B140" s="7">
        <v>45476</v>
      </c>
      <c r="C140" s="7" t="str">
        <f t="shared" si="7"/>
        <v>Wednesday</v>
      </c>
      <c r="D140" s="8" t="s">
        <v>122</v>
      </c>
      <c r="E140">
        <f t="shared" si="8"/>
        <v>1</v>
      </c>
      <c r="F140">
        <f t="shared" si="6"/>
        <v>4</v>
      </c>
    </row>
    <row r="141" spans="1:6" ht="15.75" customHeight="1" x14ac:dyDescent="0.3">
      <c r="A141" s="2" t="s">
        <v>44</v>
      </c>
      <c r="B141" s="7">
        <v>45476</v>
      </c>
      <c r="C141" s="7" t="str">
        <f t="shared" si="7"/>
        <v>Wednesday</v>
      </c>
      <c r="D141" s="8" t="s">
        <v>123</v>
      </c>
      <c r="E141">
        <f t="shared" si="8"/>
        <v>0</v>
      </c>
      <c r="F141">
        <f t="shared" si="6"/>
        <v>1</v>
      </c>
    </row>
    <row r="142" spans="1:6" ht="15.75" customHeight="1" x14ac:dyDescent="0.3">
      <c r="A142" s="2" t="s">
        <v>45</v>
      </c>
      <c r="B142" s="7">
        <v>45476</v>
      </c>
      <c r="C142" s="7" t="str">
        <f t="shared" si="7"/>
        <v>Wednesday</v>
      </c>
      <c r="D142" s="8" t="s">
        <v>122</v>
      </c>
      <c r="E142">
        <f t="shared" si="8"/>
        <v>1</v>
      </c>
      <c r="F142">
        <f t="shared" si="6"/>
        <v>4</v>
      </c>
    </row>
    <row r="143" spans="1:6" ht="15.75" customHeight="1" x14ac:dyDescent="0.3">
      <c r="A143" s="2" t="s">
        <v>46</v>
      </c>
      <c r="B143" s="7">
        <v>45476</v>
      </c>
      <c r="C143" s="7" t="str">
        <f t="shared" si="7"/>
        <v>Wednesday</v>
      </c>
      <c r="D143" s="8" t="s">
        <v>123</v>
      </c>
      <c r="E143">
        <f t="shared" si="8"/>
        <v>0</v>
      </c>
      <c r="F143">
        <f t="shared" si="6"/>
        <v>1</v>
      </c>
    </row>
    <row r="144" spans="1:6" ht="15.75" customHeight="1" x14ac:dyDescent="0.3">
      <c r="A144" s="2" t="s">
        <v>47</v>
      </c>
      <c r="B144" s="7">
        <v>45476</v>
      </c>
      <c r="C144" s="7" t="str">
        <f t="shared" si="7"/>
        <v>Wednesday</v>
      </c>
      <c r="D144" s="8" t="s">
        <v>123</v>
      </c>
      <c r="E144">
        <f t="shared" si="8"/>
        <v>0</v>
      </c>
      <c r="F144">
        <f t="shared" si="6"/>
        <v>2</v>
      </c>
    </row>
    <row r="145" spans="1:6" ht="15.75" customHeight="1" x14ac:dyDescent="0.3">
      <c r="A145" s="2" t="s">
        <v>48</v>
      </c>
      <c r="B145" s="7">
        <v>45476</v>
      </c>
      <c r="C145" s="7" t="str">
        <f t="shared" si="7"/>
        <v>Wednesday</v>
      </c>
      <c r="D145" s="8" t="s">
        <v>123</v>
      </c>
      <c r="E145">
        <f t="shared" si="8"/>
        <v>0</v>
      </c>
      <c r="F145">
        <f t="shared" si="6"/>
        <v>2</v>
      </c>
    </row>
    <row r="146" spans="1:6" ht="15.75" customHeight="1" x14ac:dyDescent="0.3">
      <c r="A146" s="2" t="s">
        <v>49</v>
      </c>
      <c r="B146" s="7">
        <v>45476</v>
      </c>
      <c r="C146" s="7" t="str">
        <f t="shared" si="7"/>
        <v>Wednesday</v>
      </c>
      <c r="D146" s="8" t="s">
        <v>123</v>
      </c>
      <c r="E146">
        <f t="shared" si="8"/>
        <v>0</v>
      </c>
      <c r="F146">
        <f t="shared" si="6"/>
        <v>3</v>
      </c>
    </row>
    <row r="147" spans="1:6" ht="15.75" customHeight="1" x14ac:dyDescent="0.3">
      <c r="A147" s="2" t="s">
        <v>50</v>
      </c>
      <c r="B147" s="7">
        <v>45476</v>
      </c>
      <c r="C147" s="7" t="str">
        <f t="shared" si="7"/>
        <v>Wednesday</v>
      </c>
      <c r="D147" s="8" t="s">
        <v>122</v>
      </c>
      <c r="E147">
        <f t="shared" si="8"/>
        <v>1</v>
      </c>
      <c r="F147">
        <f t="shared" si="6"/>
        <v>2</v>
      </c>
    </row>
    <row r="148" spans="1:6" ht="15.75" customHeight="1" x14ac:dyDescent="0.3">
      <c r="A148" s="2" t="s">
        <v>51</v>
      </c>
      <c r="B148" s="7">
        <v>45476</v>
      </c>
      <c r="C148" s="7" t="str">
        <f t="shared" si="7"/>
        <v>Wednesday</v>
      </c>
      <c r="D148" s="8" t="s">
        <v>122</v>
      </c>
      <c r="E148">
        <f t="shared" si="8"/>
        <v>1</v>
      </c>
      <c r="F148">
        <f t="shared" si="6"/>
        <v>4</v>
      </c>
    </row>
    <row r="149" spans="1:6" ht="15.75" customHeight="1" x14ac:dyDescent="0.3">
      <c r="A149" s="2" t="s">
        <v>52</v>
      </c>
      <c r="B149" s="7">
        <v>45476</v>
      </c>
      <c r="C149" s="7" t="str">
        <f t="shared" si="7"/>
        <v>Wednesday</v>
      </c>
      <c r="D149" s="8" t="s">
        <v>123</v>
      </c>
      <c r="E149">
        <f t="shared" si="8"/>
        <v>0</v>
      </c>
      <c r="F149">
        <f t="shared" si="6"/>
        <v>0</v>
      </c>
    </row>
    <row r="150" spans="1:6" ht="15.75" customHeight="1" x14ac:dyDescent="0.3">
      <c r="A150" s="2" t="s">
        <v>53</v>
      </c>
      <c r="B150" s="7">
        <v>45476</v>
      </c>
      <c r="C150" s="7" t="str">
        <f t="shared" si="7"/>
        <v>Wednesday</v>
      </c>
      <c r="D150" s="8" t="s">
        <v>123</v>
      </c>
      <c r="E150">
        <f t="shared" si="8"/>
        <v>0</v>
      </c>
      <c r="F150">
        <f t="shared" si="6"/>
        <v>2</v>
      </c>
    </row>
    <row r="151" spans="1:6" ht="15.75" customHeight="1" x14ac:dyDescent="0.3">
      <c r="A151" s="2" t="s">
        <v>54</v>
      </c>
      <c r="B151" s="7">
        <v>45476</v>
      </c>
      <c r="C151" s="7" t="str">
        <f t="shared" si="7"/>
        <v>Wednesday</v>
      </c>
      <c r="D151" s="8" t="s">
        <v>123</v>
      </c>
      <c r="E151">
        <f t="shared" si="8"/>
        <v>0</v>
      </c>
      <c r="F151">
        <f t="shared" si="6"/>
        <v>1</v>
      </c>
    </row>
    <row r="152" spans="1:6" ht="15.75" customHeight="1" x14ac:dyDescent="0.3">
      <c r="A152" s="2" t="s">
        <v>5</v>
      </c>
      <c r="B152" s="7">
        <v>45477</v>
      </c>
      <c r="C152" s="7" t="str">
        <f t="shared" si="7"/>
        <v>Thursday</v>
      </c>
      <c r="D152" s="8" t="s">
        <v>122</v>
      </c>
      <c r="E152">
        <f t="shared" si="8"/>
        <v>1</v>
      </c>
      <c r="F152">
        <f t="shared" si="6"/>
        <v>2</v>
      </c>
    </row>
    <row r="153" spans="1:6" ht="15.75" customHeight="1" x14ac:dyDescent="0.3">
      <c r="A153" s="2" t="s">
        <v>6</v>
      </c>
      <c r="B153" s="7">
        <v>45477</v>
      </c>
      <c r="C153" s="7" t="str">
        <f t="shared" si="7"/>
        <v>Thursday</v>
      </c>
      <c r="D153" s="8" t="s">
        <v>122</v>
      </c>
      <c r="E153">
        <f t="shared" si="8"/>
        <v>1</v>
      </c>
      <c r="F153">
        <f t="shared" si="6"/>
        <v>3</v>
      </c>
    </row>
    <row r="154" spans="1:6" ht="15.75" customHeight="1" x14ac:dyDescent="0.3">
      <c r="A154" s="2" t="s">
        <v>7</v>
      </c>
      <c r="B154" s="7">
        <v>45477</v>
      </c>
      <c r="C154" s="7" t="str">
        <f t="shared" si="7"/>
        <v>Thursday</v>
      </c>
      <c r="D154" s="8" t="s">
        <v>123</v>
      </c>
      <c r="E154">
        <f t="shared" si="8"/>
        <v>0</v>
      </c>
      <c r="F154">
        <f t="shared" si="6"/>
        <v>2</v>
      </c>
    </row>
    <row r="155" spans="1:6" ht="15.75" customHeight="1" x14ac:dyDescent="0.3">
      <c r="A155" s="2" t="s">
        <v>8</v>
      </c>
      <c r="B155" s="7">
        <v>45477</v>
      </c>
      <c r="C155" s="7" t="str">
        <f t="shared" si="7"/>
        <v>Thursday</v>
      </c>
      <c r="D155" s="8" t="s">
        <v>122</v>
      </c>
      <c r="E155">
        <f t="shared" si="8"/>
        <v>1</v>
      </c>
      <c r="F155">
        <f t="shared" si="6"/>
        <v>2</v>
      </c>
    </row>
    <row r="156" spans="1:6" ht="15.75" customHeight="1" x14ac:dyDescent="0.3">
      <c r="A156" s="2" t="s">
        <v>9</v>
      </c>
      <c r="B156" s="7">
        <v>45477</v>
      </c>
      <c r="C156" s="7" t="str">
        <f t="shared" si="7"/>
        <v>Thursday</v>
      </c>
      <c r="D156" s="8" t="s">
        <v>122</v>
      </c>
      <c r="E156">
        <f t="shared" si="8"/>
        <v>1</v>
      </c>
      <c r="F156">
        <f t="shared" si="6"/>
        <v>3</v>
      </c>
    </row>
    <row r="157" spans="1:6" ht="15.75" customHeight="1" x14ac:dyDescent="0.3">
      <c r="A157" s="2" t="s">
        <v>10</v>
      </c>
      <c r="B157" s="7">
        <v>45477</v>
      </c>
      <c r="C157" s="7" t="str">
        <f t="shared" si="7"/>
        <v>Thursday</v>
      </c>
      <c r="D157" s="8" t="s">
        <v>122</v>
      </c>
      <c r="E157">
        <f t="shared" si="8"/>
        <v>1</v>
      </c>
      <c r="F157">
        <f t="shared" si="6"/>
        <v>3</v>
      </c>
    </row>
    <row r="158" spans="1:6" ht="15.75" customHeight="1" x14ac:dyDescent="0.3">
      <c r="A158" s="2" t="s">
        <v>11</v>
      </c>
      <c r="B158" s="7">
        <v>45477</v>
      </c>
      <c r="C158" s="7" t="str">
        <f t="shared" si="7"/>
        <v>Thursday</v>
      </c>
      <c r="D158" s="8" t="s">
        <v>122</v>
      </c>
      <c r="E158">
        <f t="shared" si="8"/>
        <v>1</v>
      </c>
      <c r="F158">
        <f t="shared" si="6"/>
        <v>4</v>
      </c>
    </row>
    <row r="159" spans="1:6" ht="15.75" customHeight="1" x14ac:dyDescent="0.3">
      <c r="A159" s="2" t="s">
        <v>12</v>
      </c>
      <c r="B159" s="7">
        <v>45477</v>
      </c>
      <c r="C159" s="7" t="str">
        <f t="shared" si="7"/>
        <v>Thursday</v>
      </c>
      <c r="D159" s="8" t="s">
        <v>122</v>
      </c>
      <c r="E159">
        <f t="shared" si="8"/>
        <v>1</v>
      </c>
      <c r="F159">
        <f t="shared" si="6"/>
        <v>3</v>
      </c>
    </row>
    <row r="160" spans="1:6" ht="15.75" customHeight="1" x14ac:dyDescent="0.3">
      <c r="A160" s="2" t="s">
        <v>13</v>
      </c>
      <c r="B160" s="7">
        <v>45477</v>
      </c>
      <c r="C160" s="7" t="str">
        <f t="shared" si="7"/>
        <v>Thursday</v>
      </c>
      <c r="D160" s="8" t="s">
        <v>122</v>
      </c>
      <c r="E160">
        <f t="shared" si="8"/>
        <v>1</v>
      </c>
      <c r="F160">
        <f t="shared" si="6"/>
        <v>4</v>
      </c>
    </row>
    <row r="161" spans="1:6" ht="15.75" customHeight="1" x14ac:dyDescent="0.3">
      <c r="A161" s="2" t="s">
        <v>14</v>
      </c>
      <c r="B161" s="7">
        <v>45477</v>
      </c>
      <c r="C161" s="7" t="str">
        <f t="shared" si="7"/>
        <v>Thursday</v>
      </c>
      <c r="D161" s="8" t="s">
        <v>123</v>
      </c>
      <c r="E161">
        <f t="shared" si="8"/>
        <v>0</v>
      </c>
      <c r="F161">
        <f t="shared" si="6"/>
        <v>2</v>
      </c>
    </row>
    <row r="162" spans="1:6" ht="15.75" customHeight="1" x14ac:dyDescent="0.3">
      <c r="A162" s="2" t="s">
        <v>15</v>
      </c>
      <c r="B162" s="7">
        <v>45477</v>
      </c>
      <c r="C162" s="7" t="str">
        <f t="shared" si="7"/>
        <v>Thursday</v>
      </c>
      <c r="D162" s="8" t="s">
        <v>122</v>
      </c>
      <c r="E162">
        <f t="shared" si="8"/>
        <v>1</v>
      </c>
      <c r="F162">
        <f t="shared" si="6"/>
        <v>3</v>
      </c>
    </row>
    <row r="163" spans="1:6" ht="15.75" customHeight="1" x14ac:dyDescent="0.3">
      <c r="A163" s="2" t="s">
        <v>16</v>
      </c>
      <c r="B163" s="7">
        <v>45477</v>
      </c>
      <c r="C163" s="7" t="str">
        <f t="shared" si="7"/>
        <v>Thursday</v>
      </c>
      <c r="D163" s="8" t="s">
        <v>123</v>
      </c>
      <c r="E163">
        <f t="shared" si="8"/>
        <v>0</v>
      </c>
      <c r="F163">
        <f t="shared" si="6"/>
        <v>0</v>
      </c>
    </row>
    <row r="164" spans="1:6" ht="15.75" customHeight="1" x14ac:dyDescent="0.3">
      <c r="A164" s="2" t="s">
        <v>17</v>
      </c>
      <c r="B164" s="7">
        <v>45477</v>
      </c>
      <c r="C164" s="7" t="str">
        <f t="shared" si="7"/>
        <v>Thursday</v>
      </c>
      <c r="D164" s="8" t="s">
        <v>123</v>
      </c>
      <c r="E164">
        <f t="shared" si="8"/>
        <v>0</v>
      </c>
      <c r="F164">
        <f t="shared" si="6"/>
        <v>3</v>
      </c>
    </row>
    <row r="165" spans="1:6" ht="15.75" customHeight="1" x14ac:dyDescent="0.3">
      <c r="A165" s="2" t="s">
        <v>18</v>
      </c>
      <c r="B165" s="7">
        <v>45477</v>
      </c>
      <c r="C165" s="7" t="str">
        <f t="shared" si="7"/>
        <v>Thursday</v>
      </c>
      <c r="D165" s="8" t="s">
        <v>122</v>
      </c>
      <c r="E165">
        <f t="shared" si="8"/>
        <v>1</v>
      </c>
      <c r="F165">
        <f t="shared" si="6"/>
        <v>3</v>
      </c>
    </row>
    <row r="166" spans="1:6" ht="15.75" customHeight="1" x14ac:dyDescent="0.3">
      <c r="A166" s="2" t="s">
        <v>19</v>
      </c>
      <c r="B166" s="7">
        <v>45477</v>
      </c>
      <c r="C166" s="7" t="str">
        <f t="shared" si="7"/>
        <v>Thursday</v>
      </c>
      <c r="D166" s="8" t="s">
        <v>122</v>
      </c>
      <c r="E166">
        <f t="shared" si="8"/>
        <v>1</v>
      </c>
      <c r="F166">
        <f t="shared" si="6"/>
        <v>3</v>
      </c>
    </row>
    <row r="167" spans="1:6" ht="15.75" customHeight="1" x14ac:dyDescent="0.3">
      <c r="A167" s="2" t="s">
        <v>20</v>
      </c>
      <c r="B167" s="7">
        <v>45477</v>
      </c>
      <c r="C167" s="7" t="str">
        <f t="shared" si="7"/>
        <v>Thursday</v>
      </c>
      <c r="D167" s="8" t="s">
        <v>122</v>
      </c>
      <c r="E167">
        <f t="shared" si="8"/>
        <v>1</v>
      </c>
      <c r="F167">
        <f t="shared" si="6"/>
        <v>2</v>
      </c>
    </row>
    <row r="168" spans="1:6" ht="15.75" customHeight="1" x14ac:dyDescent="0.3">
      <c r="A168" s="2" t="s">
        <v>21</v>
      </c>
      <c r="B168" s="7">
        <v>45477</v>
      </c>
      <c r="C168" s="7" t="str">
        <f t="shared" si="7"/>
        <v>Thursday</v>
      </c>
      <c r="D168" s="8" t="s">
        <v>123</v>
      </c>
      <c r="E168">
        <f t="shared" si="8"/>
        <v>0</v>
      </c>
      <c r="F168">
        <f t="shared" si="6"/>
        <v>3</v>
      </c>
    </row>
    <row r="169" spans="1:6" ht="15.75" customHeight="1" x14ac:dyDescent="0.3">
      <c r="A169" s="2" t="s">
        <v>22</v>
      </c>
      <c r="B169" s="7">
        <v>45477</v>
      </c>
      <c r="C169" s="7" t="str">
        <f t="shared" si="7"/>
        <v>Thursday</v>
      </c>
      <c r="D169" s="8" t="s">
        <v>123</v>
      </c>
      <c r="E169">
        <f t="shared" si="8"/>
        <v>0</v>
      </c>
      <c r="F169">
        <f t="shared" si="6"/>
        <v>3</v>
      </c>
    </row>
    <row r="170" spans="1:6" ht="15.75" customHeight="1" x14ac:dyDescent="0.3">
      <c r="A170" s="2" t="s">
        <v>23</v>
      </c>
      <c r="B170" s="7">
        <v>45477</v>
      </c>
      <c r="C170" s="7" t="str">
        <f t="shared" si="7"/>
        <v>Thursday</v>
      </c>
      <c r="D170" s="8" t="s">
        <v>123</v>
      </c>
      <c r="E170">
        <f t="shared" si="8"/>
        <v>0</v>
      </c>
      <c r="F170">
        <f t="shared" si="6"/>
        <v>3</v>
      </c>
    </row>
    <row r="171" spans="1:6" ht="15.75" customHeight="1" x14ac:dyDescent="0.3">
      <c r="A171" s="2" t="s">
        <v>24</v>
      </c>
      <c r="B171" s="7">
        <v>45477</v>
      </c>
      <c r="C171" s="7" t="str">
        <f t="shared" si="7"/>
        <v>Thursday</v>
      </c>
      <c r="D171" s="8" t="s">
        <v>122</v>
      </c>
      <c r="E171">
        <f t="shared" si="8"/>
        <v>1</v>
      </c>
      <c r="F171">
        <f t="shared" si="6"/>
        <v>2</v>
      </c>
    </row>
    <row r="172" spans="1:6" ht="15.75" customHeight="1" x14ac:dyDescent="0.3">
      <c r="A172" s="2" t="s">
        <v>25</v>
      </c>
      <c r="B172" s="7">
        <v>45477</v>
      </c>
      <c r="C172" s="7" t="str">
        <f t="shared" si="7"/>
        <v>Thursday</v>
      </c>
      <c r="D172" s="8" t="s">
        <v>123</v>
      </c>
      <c r="E172">
        <f t="shared" si="8"/>
        <v>0</v>
      </c>
      <c r="F172">
        <f t="shared" si="6"/>
        <v>3</v>
      </c>
    </row>
    <row r="173" spans="1:6" ht="15.75" customHeight="1" x14ac:dyDescent="0.3">
      <c r="A173" s="2" t="s">
        <v>26</v>
      </c>
      <c r="B173" s="7">
        <v>45477</v>
      </c>
      <c r="C173" s="7" t="str">
        <f t="shared" si="7"/>
        <v>Thursday</v>
      </c>
      <c r="D173" s="8" t="s">
        <v>123</v>
      </c>
      <c r="E173">
        <f t="shared" si="8"/>
        <v>0</v>
      </c>
      <c r="F173">
        <f t="shared" si="6"/>
        <v>1</v>
      </c>
    </row>
    <row r="174" spans="1:6" ht="15.75" customHeight="1" x14ac:dyDescent="0.3">
      <c r="A174" s="2" t="s">
        <v>27</v>
      </c>
      <c r="B174" s="7">
        <v>45477</v>
      </c>
      <c r="C174" s="7" t="str">
        <f t="shared" si="7"/>
        <v>Thursday</v>
      </c>
      <c r="D174" s="8" t="s">
        <v>122</v>
      </c>
      <c r="E174">
        <f t="shared" si="8"/>
        <v>1</v>
      </c>
      <c r="F174">
        <f t="shared" si="6"/>
        <v>3</v>
      </c>
    </row>
    <row r="175" spans="1:6" ht="15.75" customHeight="1" x14ac:dyDescent="0.3">
      <c r="A175" s="2" t="s">
        <v>28</v>
      </c>
      <c r="B175" s="7">
        <v>45477</v>
      </c>
      <c r="C175" s="7" t="str">
        <f t="shared" si="7"/>
        <v>Thursday</v>
      </c>
      <c r="D175" s="8" t="s">
        <v>123</v>
      </c>
      <c r="E175">
        <f t="shared" si="8"/>
        <v>0</v>
      </c>
      <c r="F175">
        <f t="shared" si="6"/>
        <v>2</v>
      </c>
    </row>
    <row r="176" spans="1:6" ht="15.75" customHeight="1" x14ac:dyDescent="0.3">
      <c r="A176" s="2" t="s">
        <v>29</v>
      </c>
      <c r="B176" s="7">
        <v>45477</v>
      </c>
      <c r="C176" s="7" t="str">
        <f t="shared" si="7"/>
        <v>Thursday</v>
      </c>
      <c r="D176" s="8" t="s">
        <v>122</v>
      </c>
      <c r="E176">
        <f t="shared" si="8"/>
        <v>1</v>
      </c>
      <c r="F176">
        <f t="shared" si="6"/>
        <v>2</v>
      </c>
    </row>
    <row r="177" spans="1:6" ht="15.75" customHeight="1" x14ac:dyDescent="0.3">
      <c r="A177" s="2" t="s">
        <v>30</v>
      </c>
      <c r="B177" s="7">
        <v>45477</v>
      </c>
      <c r="C177" s="7" t="str">
        <f t="shared" si="7"/>
        <v>Thursday</v>
      </c>
      <c r="D177" s="8" t="s">
        <v>123</v>
      </c>
      <c r="E177">
        <f t="shared" si="8"/>
        <v>0</v>
      </c>
      <c r="F177">
        <f t="shared" si="6"/>
        <v>2</v>
      </c>
    </row>
    <row r="178" spans="1:6" ht="15.75" customHeight="1" x14ac:dyDescent="0.3">
      <c r="A178" s="2" t="s">
        <v>31</v>
      </c>
      <c r="B178" s="7">
        <v>45477</v>
      </c>
      <c r="C178" s="7" t="str">
        <f t="shared" si="7"/>
        <v>Thursday</v>
      </c>
      <c r="D178" s="8" t="s">
        <v>122</v>
      </c>
      <c r="E178">
        <f t="shared" si="8"/>
        <v>1</v>
      </c>
      <c r="F178">
        <f t="shared" si="6"/>
        <v>4</v>
      </c>
    </row>
    <row r="179" spans="1:6" ht="15.75" customHeight="1" x14ac:dyDescent="0.3">
      <c r="A179" s="2" t="s">
        <v>32</v>
      </c>
      <c r="B179" s="7">
        <v>45477</v>
      </c>
      <c r="C179" s="7" t="str">
        <f t="shared" si="7"/>
        <v>Thursday</v>
      </c>
      <c r="D179" s="8" t="s">
        <v>123</v>
      </c>
      <c r="E179">
        <f t="shared" si="8"/>
        <v>0</v>
      </c>
      <c r="F179">
        <f t="shared" si="6"/>
        <v>0</v>
      </c>
    </row>
    <row r="180" spans="1:6" ht="15.75" customHeight="1" x14ac:dyDescent="0.3">
      <c r="A180" s="2" t="s">
        <v>33</v>
      </c>
      <c r="B180" s="7">
        <v>45477</v>
      </c>
      <c r="C180" s="7" t="str">
        <f t="shared" si="7"/>
        <v>Thursday</v>
      </c>
      <c r="D180" s="8" t="s">
        <v>122</v>
      </c>
      <c r="E180">
        <f t="shared" si="8"/>
        <v>1</v>
      </c>
      <c r="F180">
        <f t="shared" si="6"/>
        <v>3</v>
      </c>
    </row>
    <row r="181" spans="1:6" ht="15.75" customHeight="1" x14ac:dyDescent="0.3">
      <c r="A181" s="2" t="s">
        <v>34</v>
      </c>
      <c r="B181" s="7">
        <v>45477</v>
      </c>
      <c r="C181" s="7" t="str">
        <f t="shared" si="7"/>
        <v>Thursday</v>
      </c>
      <c r="D181" s="8" t="s">
        <v>122</v>
      </c>
      <c r="E181">
        <f t="shared" si="8"/>
        <v>1</v>
      </c>
      <c r="F181">
        <f t="shared" si="6"/>
        <v>4</v>
      </c>
    </row>
    <row r="182" spans="1:6" ht="15.75" customHeight="1" x14ac:dyDescent="0.3">
      <c r="A182" s="2" t="s">
        <v>35</v>
      </c>
      <c r="B182" s="7">
        <v>45477</v>
      </c>
      <c r="C182" s="7" t="str">
        <f t="shared" si="7"/>
        <v>Thursday</v>
      </c>
      <c r="D182" s="8" t="s">
        <v>122</v>
      </c>
      <c r="E182">
        <f t="shared" si="8"/>
        <v>1</v>
      </c>
      <c r="F182">
        <f t="shared" si="6"/>
        <v>2</v>
      </c>
    </row>
    <row r="183" spans="1:6" ht="15.75" customHeight="1" x14ac:dyDescent="0.3">
      <c r="A183" s="2" t="s">
        <v>36</v>
      </c>
      <c r="B183" s="7">
        <v>45477</v>
      </c>
      <c r="C183" s="7" t="str">
        <f t="shared" si="7"/>
        <v>Thursday</v>
      </c>
      <c r="D183" s="8" t="s">
        <v>122</v>
      </c>
      <c r="E183">
        <f t="shared" si="8"/>
        <v>1</v>
      </c>
      <c r="F183">
        <f t="shared" si="6"/>
        <v>2</v>
      </c>
    </row>
    <row r="184" spans="1:6" ht="15.75" customHeight="1" x14ac:dyDescent="0.3">
      <c r="A184" s="2" t="s">
        <v>37</v>
      </c>
      <c r="B184" s="7">
        <v>45477</v>
      </c>
      <c r="C184" s="7" t="str">
        <f t="shared" si="7"/>
        <v>Thursday</v>
      </c>
      <c r="D184" s="8" t="s">
        <v>122</v>
      </c>
      <c r="E184">
        <f t="shared" si="8"/>
        <v>1</v>
      </c>
      <c r="F184">
        <f t="shared" si="6"/>
        <v>5</v>
      </c>
    </row>
    <row r="185" spans="1:6" ht="15.75" customHeight="1" x14ac:dyDescent="0.3">
      <c r="A185" s="2" t="s">
        <v>38</v>
      </c>
      <c r="B185" s="7">
        <v>45477</v>
      </c>
      <c r="C185" s="7" t="str">
        <f t="shared" si="7"/>
        <v>Thursday</v>
      </c>
      <c r="D185" s="8" t="s">
        <v>122</v>
      </c>
      <c r="E185">
        <f t="shared" si="8"/>
        <v>1</v>
      </c>
      <c r="F185">
        <f t="shared" si="6"/>
        <v>2</v>
      </c>
    </row>
    <row r="186" spans="1:6" ht="15.75" customHeight="1" x14ac:dyDescent="0.3">
      <c r="A186" s="2" t="s">
        <v>39</v>
      </c>
      <c r="B186" s="7">
        <v>45477</v>
      </c>
      <c r="C186" s="7" t="str">
        <f t="shared" si="7"/>
        <v>Thursday</v>
      </c>
      <c r="D186" s="8" t="s">
        <v>123</v>
      </c>
      <c r="E186">
        <f t="shared" si="8"/>
        <v>0</v>
      </c>
      <c r="F186">
        <f t="shared" si="6"/>
        <v>3</v>
      </c>
    </row>
    <row r="187" spans="1:6" ht="15.75" customHeight="1" x14ac:dyDescent="0.3">
      <c r="A187" s="2" t="s">
        <v>40</v>
      </c>
      <c r="B187" s="7">
        <v>45477</v>
      </c>
      <c r="C187" s="7" t="str">
        <f t="shared" si="7"/>
        <v>Thursday</v>
      </c>
      <c r="D187" s="8" t="s">
        <v>122</v>
      </c>
      <c r="E187">
        <f t="shared" si="8"/>
        <v>1</v>
      </c>
      <c r="F187">
        <f t="shared" si="6"/>
        <v>3</v>
      </c>
    </row>
    <row r="188" spans="1:6" ht="15.75" customHeight="1" x14ac:dyDescent="0.3">
      <c r="A188" s="2" t="s">
        <v>41</v>
      </c>
      <c r="B188" s="7">
        <v>45477</v>
      </c>
      <c r="C188" s="7" t="str">
        <f t="shared" si="7"/>
        <v>Thursday</v>
      </c>
      <c r="D188" s="8" t="s">
        <v>123</v>
      </c>
      <c r="E188">
        <f t="shared" si="8"/>
        <v>0</v>
      </c>
      <c r="F188">
        <f t="shared" si="6"/>
        <v>4</v>
      </c>
    </row>
    <row r="189" spans="1:6" ht="15.75" customHeight="1" x14ac:dyDescent="0.3">
      <c r="A189" s="2" t="s">
        <v>42</v>
      </c>
      <c r="B189" s="7">
        <v>45477</v>
      </c>
      <c r="C189" s="7" t="str">
        <f t="shared" si="7"/>
        <v>Thursday</v>
      </c>
      <c r="D189" s="8" t="s">
        <v>122</v>
      </c>
      <c r="E189">
        <f t="shared" si="8"/>
        <v>1</v>
      </c>
      <c r="F189">
        <f t="shared" si="6"/>
        <v>3</v>
      </c>
    </row>
    <row r="190" spans="1:6" ht="15.75" customHeight="1" x14ac:dyDescent="0.3">
      <c r="A190" s="2" t="s">
        <v>43</v>
      </c>
      <c r="B190" s="7">
        <v>45477</v>
      </c>
      <c r="C190" s="7" t="str">
        <f t="shared" si="7"/>
        <v>Thursday</v>
      </c>
      <c r="D190" s="8" t="s">
        <v>123</v>
      </c>
      <c r="E190">
        <f t="shared" si="8"/>
        <v>0</v>
      </c>
      <c r="F190">
        <f t="shared" si="6"/>
        <v>4</v>
      </c>
    </row>
    <row r="191" spans="1:6" ht="15.75" customHeight="1" x14ac:dyDescent="0.3">
      <c r="A191" s="2" t="s">
        <v>44</v>
      </c>
      <c r="B191" s="7">
        <v>45477</v>
      </c>
      <c r="C191" s="7" t="str">
        <f t="shared" si="7"/>
        <v>Thursday</v>
      </c>
      <c r="D191" s="8" t="s">
        <v>122</v>
      </c>
      <c r="E191">
        <f t="shared" si="8"/>
        <v>1</v>
      </c>
      <c r="F191">
        <f t="shared" si="6"/>
        <v>1</v>
      </c>
    </row>
    <row r="192" spans="1:6" ht="15.75" customHeight="1" x14ac:dyDescent="0.3">
      <c r="A192" s="2" t="s">
        <v>45</v>
      </c>
      <c r="B192" s="7">
        <v>45477</v>
      </c>
      <c r="C192" s="7" t="str">
        <f t="shared" si="7"/>
        <v>Thursday</v>
      </c>
      <c r="D192" s="8" t="s">
        <v>122</v>
      </c>
      <c r="E192">
        <f t="shared" si="8"/>
        <v>1</v>
      </c>
      <c r="F192">
        <f t="shared" si="6"/>
        <v>4</v>
      </c>
    </row>
    <row r="193" spans="1:6" ht="15.75" customHeight="1" x14ac:dyDescent="0.3">
      <c r="A193" s="2" t="s">
        <v>46</v>
      </c>
      <c r="B193" s="7">
        <v>45477</v>
      </c>
      <c r="C193" s="7" t="str">
        <f t="shared" si="7"/>
        <v>Thursday</v>
      </c>
      <c r="D193" s="8" t="s">
        <v>122</v>
      </c>
      <c r="E193">
        <f t="shared" si="8"/>
        <v>1</v>
      </c>
      <c r="F193">
        <f t="shared" si="6"/>
        <v>1</v>
      </c>
    </row>
    <row r="194" spans="1:6" ht="15.75" customHeight="1" x14ac:dyDescent="0.3">
      <c r="A194" s="2" t="s">
        <v>47</v>
      </c>
      <c r="B194" s="7">
        <v>45477</v>
      </c>
      <c r="C194" s="7" t="str">
        <f t="shared" si="7"/>
        <v>Thursday</v>
      </c>
      <c r="D194" s="8" t="s">
        <v>123</v>
      </c>
      <c r="E194">
        <f t="shared" si="8"/>
        <v>0</v>
      </c>
      <c r="F194">
        <f t="shared" ref="F194:F251" si="9">SUMIF(A:A,A194,E:E)</f>
        <v>2</v>
      </c>
    </row>
    <row r="195" spans="1:6" ht="15.75" customHeight="1" x14ac:dyDescent="0.3">
      <c r="A195" s="2" t="s">
        <v>48</v>
      </c>
      <c r="B195" s="7">
        <v>45477</v>
      </c>
      <c r="C195" s="7" t="str">
        <f t="shared" ref="C195:C251" si="10">TEXT(B195,"dddd")</f>
        <v>Thursday</v>
      </c>
      <c r="D195" s="8" t="s">
        <v>122</v>
      </c>
      <c r="E195">
        <f t="shared" ref="E195:E251" si="11">IF(D195="Yes",1,0)</f>
        <v>1</v>
      </c>
      <c r="F195">
        <f t="shared" si="9"/>
        <v>2</v>
      </c>
    </row>
    <row r="196" spans="1:6" ht="15.75" customHeight="1" x14ac:dyDescent="0.3">
      <c r="A196" s="2" t="s">
        <v>49</v>
      </c>
      <c r="B196" s="7">
        <v>45477</v>
      </c>
      <c r="C196" s="7" t="str">
        <f t="shared" si="10"/>
        <v>Thursday</v>
      </c>
      <c r="D196" s="8" t="s">
        <v>122</v>
      </c>
      <c r="E196">
        <f t="shared" si="11"/>
        <v>1</v>
      </c>
      <c r="F196">
        <f t="shared" si="9"/>
        <v>3</v>
      </c>
    </row>
    <row r="197" spans="1:6" ht="15.75" customHeight="1" x14ac:dyDescent="0.3">
      <c r="A197" s="2" t="s">
        <v>50</v>
      </c>
      <c r="B197" s="7">
        <v>45477</v>
      </c>
      <c r="C197" s="7" t="str">
        <f t="shared" si="10"/>
        <v>Thursday</v>
      </c>
      <c r="D197" s="8" t="s">
        <v>123</v>
      </c>
      <c r="E197">
        <f t="shared" si="11"/>
        <v>0</v>
      </c>
      <c r="F197">
        <f t="shared" si="9"/>
        <v>2</v>
      </c>
    </row>
    <row r="198" spans="1:6" ht="15.75" customHeight="1" x14ac:dyDescent="0.3">
      <c r="A198" s="2" t="s">
        <v>51</v>
      </c>
      <c r="B198" s="7">
        <v>45477</v>
      </c>
      <c r="C198" s="7" t="str">
        <f t="shared" si="10"/>
        <v>Thursday</v>
      </c>
      <c r="D198" s="8" t="s">
        <v>123</v>
      </c>
      <c r="E198">
        <f t="shared" si="11"/>
        <v>0</v>
      </c>
      <c r="F198">
        <f t="shared" si="9"/>
        <v>4</v>
      </c>
    </row>
    <row r="199" spans="1:6" ht="15.75" customHeight="1" x14ac:dyDescent="0.3">
      <c r="A199" s="2" t="s">
        <v>52</v>
      </c>
      <c r="B199" s="7">
        <v>45477</v>
      </c>
      <c r="C199" s="7" t="str">
        <f t="shared" si="10"/>
        <v>Thursday</v>
      </c>
      <c r="D199" s="8" t="s">
        <v>123</v>
      </c>
      <c r="E199">
        <f t="shared" si="11"/>
        <v>0</v>
      </c>
      <c r="F199">
        <f t="shared" si="9"/>
        <v>0</v>
      </c>
    </row>
    <row r="200" spans="1:6" ht="15.75" customHeight="1" x14ac:dyDescent="0.3">
      <c r="A200" s="2" t="s">
        <v>53</v>
      </c>
      <c r="B200" s="7">
        <v>45477</v>
      </c>
      <c r="C200" s="7" t="str">
        <f t="shared" si="10"/>
        <v>Thursday</v>
      </c>
      <c r="D200" s="8" t="s">
        <v>123</v>
      </c>
      <c r="E200">
        <f t="shared" si="11"/>
        <v>0</v>
      </c>
      <c r="F200">
        <f t="shared" si="9"/>
        <v>2</v>
      </c>
    </row>
    <row r="201" spans="1:6" ht="15.75" customHeight="1" x14ac:dyDescent="0.3">
      <c r="A201" s="2" t="s">
        <v>54</v>
      </c>
      <c r="B201" s="7">
        <v>45477</v>
      </c>
      <c r="C201" s="7" t="str">
        <f t="shared" si="10"/>
        <v>Thursday</v>
      </c>
      <c r="D201" s="8" t="s">
        <v>122</v>
      </c>
      <c r="E201">
        <f t="shared" si="11"/>
        <v>1</v>
      </c>
      <c r="F201">
        <f t="shared" si="9"/>
        <v>1</v>
      </c>
    </row>
    <row r="202" spans="1:6" ht="15.75" customHeight="1" x14ac:dyDescent="0.3">
      <c r="A202" s="2" t="s">
        <v>5</v>
      </c>
      <c r="B202" s="7">
        <v>45478</v>
      </c>
      <c r="C202" s="7" t="str">
        <f t="shared" si="10"/>
        <v>Friday</v>
      </c>
      <c r="D202" s="8" t="s">
        <v>123</v>
      </c>
      <c r="E202">
        <f t="shared" si="11"/>
        <v>0</v>
      </c>
      <c r="F202">
        <f t="shared" si="9"/>
        <v>2</v>
      </c>
    </row>
    <row r="203" spans="1:6" ht="15.75" customHeight="1" x14ac:dyDescent="0.3">
      <c r="A203" s="2" t="s">
        <v>6</v>
      </c>
      <c r="B203" s="7">
        <v>45478</v>
      </c>
      <c r="C203" s="7" t="str">
        <f t="shared" si="10"/>
        <v>Friday</v>
      </c>
      <c r="D203" s="8" t="s">
        <v>123</v>
      </c>
      <c r="E203">
        <f t="shared" si="11"/>
        <v>0</v>
      </c>
      <c r="F203">
        <f t="shared" si="9"/>
        <v>3</v>
      </c>
    </row>
    <row r="204" spans="1:6" ht="15.75" customHeight="1" x14ac:dyDescent="0.3">
      <c r="A204" s="2" t="s">
        <v>7</v>
      </c>
      <c r="B204" s="7">
        <v>45478</v>
      </c>
      <c r="C204" s="7" t="str">
        <f t="shared" si="10"/>
        <v>Friday</v>
      </c>
      <c r="D204" s="8" t="s">
        <v>123</v>
      </c>
      <c r="E204">
        <f t="shared" si="11"/>
        <v>0</v>
      </c>
      <c r="F204">
        <f t="shared" si="9"/>
        <v>2</v>
      </c>
    </row>
    <row r="205" spans="1:6" ht="15.75" customHeight="1" x14ac:dyDescent="0.3">
      <c r="A205" s="2" t="s">
        <v>8</v>
      </c>
      <c r="B205" s="7">
        <v>45478</v>
      </c>
      <c r="C205" s="7" t="str">
        <f t="shared" si="10"/>
        <v>Friday</v>
      </c>
      <c r="D205" s="8" t="s">
        <v>123</v>
      </c>
      <c r="E205">
        <f t="shared" si="11"/>
        <v>0</v>
      </c>
      <c r="F205">
        <f t="shared" si="9"/>
        <v>2</v>
      </c>
    </row>
    <row r="206" spans="1:6" ht="15.75" customHeight="1" x14ac:dyDescent="0.3">
      <c r="A206" s="2" t="s">
        <v>9</v>
      </c>
      <c r="B206" s="7">
        <v>45478</v>
      </c>
      <c r="C206" s="7" t="str">
        <f t="shared" si="10"/>
        <v>Friday</v>
      </c>
      <c r="D206" s="8" t="s">
        <v>123</v>
      </c>
      <c r="E206">
        <f t="shared" si="11"/>
        <v>0</v>
      </c>
      <c r="F206">
        <f t="shared" si="9"/>
        <v>3</v>
      </c>
    </row>
    <row r="207" spans="1:6" ht="15.75" customHeight="1" x14ac:dyDescent="0.3">
      <c r="A207" s="2" t="s">
        <v>10</v>
      </c>
      <c r="B207" s="7">
        <v>45478</v>
      </c>
      <c r="C207" s="7" t="str">
        <f t="shared" si="10"/>
        <v>Friday</v>
      </c>
      <c r="D207" s="8" t="s">
        <v>122</v>
      </c>
      <c r="E207">
        <f t="shared" si="11"/>
        <v>1</v>
      </c>
      <c r="F207">
        <f t="shared" si="9"/>
        <v>3</v>
      </c>
    </row>
    <row r="208" spans="1:6" ht="15.75" customHeight="1" x14ac:dyDescent="0.3">
      <c r="A208" s="2" t="s">
        <v>11</v>
      </c>
      <c r="B208" s="7">
        <v>45478</v>
      </c>
      <c r="C208" s="7" t="str">
        <f t="shared" si="10"/>
        <v>Friday</v>
      </c>
      <c r="D208" s="8" t="s">
        <v>122</v>
      </c>
      <c r="E208">
        <f t="shared" si="11"/>
        <v>1</v>
      </c>
      <c r="F208">
        <f t="shared" si="9"/>
        <v>4</v>
      </c>
    </row>
    <row r="209" spans="1:6" ht="15.75" customHeight="1" x14ac:dyDescent="0.3">
      <c r="A209" s="2" t="s">
        <v>12</v>
      </c>
      <c r="B209" s="7">
        <v>45478</v>
      </c>
      <c r="C209" s="7" t="str">
        <f t="shared" si="10"/>
        <v>Friday</v>
      </c>
      <c r="D209" s="8" t="s">
        <v>123</v>
      </c>
      <c r="E209">
        <f t="shared" si="11"/>
        <v>0</v>
      </c>
      <c r="F209">
        <f t="shared" si="9"/>
        <v>3</v>
      </c>
    </row>
    <row r="210" spans="1:6" ht="15.75" customHeight="1" x14ac:dyDescent="0.3">
      <c r="A210" s="2" t="s">
        <v>13</v>
      </c>
      <c r="B210" s="7">
        <v>45478</v>
      </c>
      <c r="C210" s="7" t="str">
        <f t="shared" si="10"/>
        <v>Friday</v>
      </c>
      <c r="D210" s="8" t="s">
        <v>123</v>
      </c>
      <c r="E210">
        <f t="shared" si="11"/>
        <v>0</v>
      </c>
      <c r="F210">
        <f t="shared" si="9"/>
        <v>4</v>
      </c>
    </row>
    <row r="211" spans="1:6" ht="15.75" customHeight="1" x14ac:dyDescent="0.3">
      <c r="A211" s="2" t="s">
        <v>14</v>
      </c>
      <c r="B211" s="7">
        <v>45478</v>
      </c>
      <c r="C211" s="7" t="str">
        <f t="shared" si="10"/>
        <v>Friday</v>
      </c>
      <c r="D211" s="8" t="s">
        <v>123</v>
      </c>
      <c r="E211">
        <f t="shared" si="11"/>
        <v>0</v>
      </c>
      <c r="F211">
        <f t="shared" si="9"/>
        <v>2</v>
      </c>
    </row>
    <row r="212" spans="1:6" ht="15.75" customHeight="1" x14ac:dyDescent="0.3">
      <c r="A212" s="2" t="s">
        <v>15</v>
      </c>
      <c r="B212" s="7">
        <v>45478</v>
      </c>
      <c r="C212" s="7" t="str">
        <f t="shared" si="10"/>
        <v>Friday</v>
      </c>
      <c r="D212" s="8" t="s">
        <v>123</v>
      </c>
      <c r="E212">
        <f t="shared" si="11"/>
        <v>0</v>
      </c>
      <c r="F212">
        <f t="shared" si="9"/>
        <v>3</v>
      </c>
    </row>
    <row r="213" spans="1:6" ht="15.75" customHeight="1" x14ac:dyDescent="0.3">
      <c r="A213" s="2" t="s">
        <v>16</v>
      </c>
      <c r="B213" s="7">
        <v>45478</v>
      </c>
      <c r="C213" s="7" t="str">
        <f t="shared" si="10"/>
        <v>Friday</v>
      </c>
      <c r="D213" s="8" t="s">
        <v>123</v>
      </c>
      <c r="E213">
        <f t="shared" si="11"/>
        <v>0</v>
      </c>
      <c r="F213">
        <f t="shared" si="9"/>
        <v>0</v>
      </c>
    </row>
    <row r="214" spans="1:6" ht="15.75" customHeight="1" x14ac:dyDescent="0.3">
      <c r="A214" s="2" t="s">
        <v>17</v>
      </c>
      <c r="B214" s="7">
        <v>45478</v>
      </c>
      <c r="C214" s="7" t="str">
        <f t="shared" si="10"/>
        <v>Friday</v>
      </c>
      <c r="D214" s="8" t="s">
        <v>122</v>
      </c>
      <c r="E214">
        <f t="shared" si="11"/>
        <v>1</v>
      </c>
      <c r="F214">
        <f t="shared" si="9"/>
        <v>3</v>
      </c>
    </row>
    <row r="215" spans="1:6" ht="15.75" customHeight="1" x14ac:dyDescent="0.3">
      <c r="A215" s="2" t="s">
        <v>18</v>
      </c>
      <c r="B215" s="7">
        <v>45478</v>
      </c>
      <c r="C215" s="7" t="str">
        <f t="shared" si="10"/>
        <v>Friday</v>
      </c>
      <c r="D215" s="8" t="s">
        <v>122</v>
      </c>
      <c r="E215">
        <f t="shared" si="11"/>
        <v>1</v>
      </c>
      <c r="F215">
        <f t="shared" si="9"/>
        <v>3</v>
      </c>
    </row>
    <row r="216" spans="1:6" ht="15.75" customHeight="1" x14ac:dyDescent="0.3">
      <c r="A216" s="2" t="s">
        <v>19</v>
      </c>
      <c r="B216" s="7">
        <v>45478</v>
      </c>
      <c r="C216" s="7" t="str">
        <f t="shared" si="10"/>
        <v>Friday</v>
      </c>
      <c r="D216" s="8" t="s">
        <v>123</v>
      </c>
      <c r="E216">
        <f t="shared" si="11"/>
        <v>0</v>
      </c>
      <c r="F216">
        <f t="shared" si="9"/>
        <v>3</v>
      </c>
    </row>
    <row r="217" spans="1:6" ht="15.75" customHeight="1" x14ac:dyDescent="0.3">
      <c r="A217" s="2" t="s">
        <v>20</v>
      </c>
      <c r="B217" s="7">
        <v>45478</v>
      </c>
      <c r="C217" s="7" t="str">
        <f t="shared" si="10"/>
        <v>Friday</v>
      </c>
      <c r="D217" s="8" t="s">
        <v>122</v>
      </c>
      <c r="E217">
        <f t="shared" si="11"/>
        <v>1</v>
      </c>
      <c r="F217">
        <f t="shared" si="9"/>
        <v>2</v>
      </c>
    </row>
    <row r="218" spans="1:6" ht="15.75" customHeight="1" x14ac:dyDescent="0.3">
      <c r="A218" s="2" t="s">
        <v>21</v>
      </c>
      <c r="B218" s="7">
        <v>45478</v>
      </c>
      <c r="C218" s="7" t="str">
        <f t="shared" si="10"/>
        <v>Friday</v>
      </c>
      <c r="D218" s="8" t="s">
        <v>122</v>
      </c>
      <c r="E218">
        <f t="shared" si="11"/>
        <v>1</v>
      </c>
      <c r="F218">
        <f t="shared" si="9"/>
        <v>3</v>
      </c>
    </row>
    <row r="219" spans="1:6" ht="15.75" customHeight="1" x14ac:dyDescent="0.3">
      <c r="A219" s="2" t="s">
        <v>22</v>
      </c>
      <c r="B219" s="7">
        <v>45478</v>
      </c>
      <c r="C219" s="7" t="str">
        <f t="shared" si="10"/>
        <v>Friday</v>
      </c>
      <c r="D219" s="8" t="s">
        <v>122</v>
      </c>
      <c r="E219">
        <f t="shared" si="11"/>
        <v>1</v>
      </c>
      <c r="F219">
        <f t="shared" si="9"/>
        <v>3</v>
      </c>
    </row>
    <row r="220" spans="1:6" ht="15.75" customHeight="1" x14ac:dyDescent="0.3">
      <c r="A220" s="2" t="s">
        <v>23</v>
      </c>
      <c r="B220" s="7">
        <v>45478</v>
      </c>
      <c r="C220" s="7" t="str">
        <f t="shared" si="10"/>
        <v>Friday</v>
      </c>
      <c r="D220" s="8" t="s">
        <v>123</v>
      </c>
      <c r="E220">
        <f t="shared" si="11"/>
        <v>0</v>
      </c>
      <c r="F220">
        <f t="shared" si="9"/>
        <v>3</v>
      </c>
    </row>
    <row r="221" spans="1:6" ht="15.75" customHeight="1" x14ac:dyDescent="0.3">
      <c r="A221" s="2" t="s">
        <v>24</v>
      </c>
      <c r="B221" s="7">
        <v>45478</v>
      </c>
      <c r="C221" s="7" t="str">
        <f t="shared" si="10"/>
        <v>Friday</v>
      </c>
      <c r="D221" s="8" t="s">
        <v>122</v>
      </c>
      <c r="E221">
        <f t="shared" si="11"/>
        <v>1</v>
      </c>
      <c r="F221">
        <f t="shared" si="9"/>
        <v>2</v>
      </c>
    </row>
    <row r="222" spans="1:6" ht="15.75" customHeight="1" x14ac:dyDescent="0.3">
      <c r="A222" s="2" t="s">
        <v>25</v>
      </c>
      <c r="B222" s="7">
        <v>45478</v>
      </c>
      <c r="C222" s="7" t="str">
        <f t="shared" si="10"/>
        <v>Friday</v>
      </c>
      <c r="D222" s="8" t="s">
        <v>122</v>
      </c>
      <c r="E222">
        <f t="shared" si="11"/>
        <v>1</v>
      </c>
      <c r="F222">
        <f t="shared" si="9"/>
        <v>3</v>
      </c>
    </row>
    <row r="223" spans="1:6" ht="15.75" customHeight="1" x14ac:dyDescent="0.3">
      <c r="A223" s="2" t="s">
        <v>26</v>
      </c>
      <c r="B223" s="7">
        <v>45478</v>
      </c>
      <c r="C223" s="7" t="str">
        <f t="shared" si="10"/>
        <v>Friday</v>
      </c>
      <c r="D223" s="8" t="s">
        <v>123</v>
      </c>
      <c r="E223">
        <f t="shared" si="11"/>
        <v>0</v>
      </c>
      <c r="F223">
        <f t="shared" si="9"/>
        <v>1</v>
      </c>
    </row>
    <row r="224" spans="1:6" ht="15.75" customHeight="1" x14ac:dyDescent="0.3">
      <c r="A224" s="2" t="s">
        <v>27</v>
      </c>
      <c r="B224" s="7">
        <v>45478</v>
      </c>
      <c r="C224" s="7" t="str">
        <f t="shared" si="10"/>
        <v>Friday</v>
      </c>
      <c r="D224" s="8" t="s">
        <v>123</v>
      </c>
      <c r="E224">
        <f t="shared" si="11"/>
        <v>0</v>
      </c>
      <c r="F224">
        <f t="shared" si="9"/>
        <v>3</v>
      </c>
    </row>
    <row r="225" spans="1:6" ht="15.75" customHeight="1" x14ac:dyDescent="0.3">
      <c r="A225" s="2" t="s">
        <v>28</v>
      </c>
      <c r="B225" s="7">
        <v>45478</v>
      </c>
      <c r="C225" s="7" t="str">
        <f t="shared" si="10"/>
        <v>Friday</v>
      </c>
      <c r="D225" s="8" t="s">
        <v>123</v>
      </c>
      <c r="E225">
        <f t="shared" si="11"/>
        <v>0</v>
      </c>
      <c r="F225">
        <f t="shared" si="9"/>
        <v>2</v>
      </c>
    </row>
    <row r="226" spans="1:6" ht="15.75" customHeight="1" x14ac:dyDescent="0.3">
      <c r="A226" s="2" t="s">
        <v>29</v>
      </c>
      <c r="B226" s="7">
        <v>45478</v>
      </c>
      <c r="C226" s="7" t="str">
        <f t="shared" si="10"/>
        <v>Friday</v>
      </c>
      <c r="D226" s="8" t="s">
        <v>123</v>
      </c>
      <c r="E226">
        <f t="shared" si="11"/>
        <v>0</v>
      </c>
      <c r="F226">
        <f t="shared" si="9"/>
        <v>2</v>
      </c>
    </row>
    <row r="227" spans="1:6" ht="15.75" customHeight="1" x14ac:dyDescent="0.3">
      <c r="A227" s="2" t="s">
        <v>30</v>
      </c>
      <c r="B227" s="7">
        <v>45478</v>
      </c>
      <c r="C227" s="7" t="str">
        <f t="shared" si="10"/>
        <v>Friday</v>
      </c>
      <c r="D227" s="8" t="s">
        <v>122</v>
      </c>
      <c r="E227">
        <f t="shared" si="11"/>
        <v>1</v>
      </c>
      <c r="F227">
        <f t="shared" si="9"/>
        <v>2</v>
      </c>
    </row>
    <row r="228" spans="1:6" ht="15.75" customHeight="1" x14ac:dyDescent="0.3">
      <c r="A228" s="2" t="s">
        <v>31</v>
      </c>
      <c r="B228" s="7">
        <v>45478</v>
      </c>
      <c r="C228" s="7" t="str">
        <f t="shared" si="10"/>
        <v>Friday</v>
      </c>
      <c r="D228" s="8" t="s">
        <v>122</v>
      </c>
      <c r="E228">
        <f t="shared" si="11"/>
        <v>1</v>
      </c>
      <c r="F228">
        <f t="shared" si="9"/>
        <v>4</v>
      </c>
    </row>
    <row r="229" spans="1:6" ht="15.75" customHeight="1" x14ac:dyDescent="0.3">
      <c r="A229" s="2" t="s">
        <v>32</v>
      </c>
      <c r="B229" s="7">
        <v>45478</v>
      </c>
      <c r="C229" s="7" t="str">
        <f t="shared" si="10"/>
        <v>Friday</v>
      </c>
      <c r="D229" s="8" t="s">
        <v>123</v>
      </c>
      <c r="E229">
        <f t="shared" si="11"/>
        <v>0</v>
      </c>
      <c r="F229">
        <f t="shared" si="9"/>
        <v>0</v>
      </c>
    </row>
    <row r="230" spans="1:6" ht="15.75" customHeight="1" x14ac:dyDescent="0.3">
      <c r="A230" s="2" t="s">
        <v>33</v>
      </c>
      <c r="B230" s="7">
        <v>45478</v>
      </c>
      <c r="C230" s="7" t="str">
        <f t="shared" si="10"/>
        <v>Friday</v>
      </c>
      <c r="D230" s="8" t="s">
        <v>122</v>
      </c>
      <c r="E230">
        <f t="shared" si="11"/>
        <v>1</v>
      </c>
      <c r="F230">
        <f t="shared" si="9"/>
        <v>3</v>
      </c>
    </row>
    <row r="231" spans="1:6" ht="15.75" customHeight="1" x14ac:dyDescent="0.3">
      <c r="A231" s="2" t="s">
        <v>34</v>
      </c>
      <c r="B231" s="7">
        <v>45478</v>
      </c>
      <c r="C231" s="7" t="str">
        <f t="shared" si="10"/>
        <v>Friday</v>
      </c>
      <c r="D231" s="8" t="s">
        <v>122</v>
      </c>
      <c r="E231">
        <f t="shared" si="11"/>
        <v>1</v>
      </c>
      <c r="F231">
        <f t="shared" si="9"/>
        <v>4</v>
      </c>
    </row>
    <row r="232" spans="1:6" ht="15.75" customHeight="1" x14ac:dyDescent="0.3">
      <c r="A232" s="2" t="s">
        <v>35</v>
      </c>
      <c r="B232" s="7">
        <v>45478</v>
      </c>
      <c r="C232" s="7" t="str">
        <f t="shared" si="10"/>
        <v>Friday</v>
      </c>
      <c r="D232" s="8" t="s">
        <v>123</v>
      </c>
      <c r="E232">
        <f t="shared" si="11"/>
        <v>0</v>
      </c>
      <c r="F232">
        <f t="shared" si="9"/>
        <v>2</v>
      </c>
    </row>
    <row r="233" spans="1:6" ht="15.75" customHeight="1" x14ac:dyDescent="0.3">
      <c r="A233" s="2" t="s">
        <v>36</v>
      </c>
      <c r="B233" s="7">
        <v>45478</v>
      </c>
      <c r="C233" s="7" t="str">
        <f t="shared" si="10"/>
        <v>Friday</v>
      </c>
      <c r="D233" s="8" t="s">
        <v>122</v>
      </c>
      <c r="E233">
        <f t="shared" si="11"/>
        <v>1</v>
      </c>
      <c r="F233">
        <f t="shared" si="9"/>
        <v>2</v>
      </c>
    </row>
    <row r="234" spans="1:6" ht="15.75" customHeight="1" x14ac:dyDescent="0.3">
      <c r="A234" s="2" t="s">
        <v>37</v>
      </c>
      <c r="B234" s="7">
        <v>45478</v>
      </c>
      <c r="C234" s="7" t="str">
        <f t="shared" si="10"/>
        <v>Friday</v>
      </c>
      <c r="D234" s="8" t="s">
        <v>122</v>
      </c>
      <c r="E234">
        <f t="shared" si="11"/>
        <v>1</v>
      </c>
      <c r="F234">
        <f t="shared" si="9"/>
        <v>5</v>
      </c>
    </row>
    <row r="235" spans="1:6" ht="15.75" customHeight="1" x14ac:dyDescent="0.3">
      <c r="A235" s="2" t="s">
        <v>38</v>
      </c>
      <c r="B235" s="7">
        <v>45478</v>
      </c>
      <c r="C235" s="7" t="str">
        <f t="shared" si="10"/>
        <v>Friday</v>
      </c>
      <c r="D235" s="8" t="s">
        <v>123</v>
      </c>
      <c r="E235">
        <f t="shared" si="11"/>
        <v>0</v>
      </c>
      <c r="F235">
        <f t="shared" si="9"/>
        <v>2</v>
      </c>
    </row>
    <row r="236" spans="1:6" ht="15.75" customHeight="1" x14ac:dyDescent="0.3">
      <c r="A236" s="2" t="s">
        <v>39</v>
      </c>
      <c r="B236" s="7">
        <v>45478</v>
      </c>
      <c r="C236" s="7" t="str">
        <f t="shared" si="10"/>
        <v>Friday</v>
      </c>
      <c r="D236" s="8" t="s">
        <v>122</v>
      </c>
      <c r="E236">
        <f t="shared" si="11"/>
        <v>1</v>
      </c>
      <c r="F236">
        <f t="shared" si="9"/>
        <v>3</v>
      </c>
    </row>
    <row r="237" spans="1:6" ht="15.75" customHeight="1" x14ac:dyDescent="0.3">
      <c r="A237" s="2" t="s">
        <v>40</v>
      </c>
      <c r="B237" s="7">
        <v>45478</v>
      </c>
      <c r="C237" s="7" t="str">
        <f t="shared" si="10"/>
        <v>Friday</v>
      </c>
      <c r="D237" s="8" t="s">
        <v>123</v>
      </c>
      <c r="E237">
        <f t="shared" si="11"/>
        <v>0</v>
      </c>
      <c r="F237">
        <f t="shared" si="9"/>
        <v>3</v>
      </c>
    </row>
    <row r="238" spans="1:6" ht="15.75" customHeight="1" x14ac:dyDescent="0.3">
      <c r="A238" s="2" t="s">
        <v>41</v>
      </c>
      <c r="B238" s="7">
        <v>45478</v>
      </c>
      <c r="C238" s="7" t="str">
        <f t="shared" si="10"/>
        <v>Friday</v>
      </c>
      <c r="D238" s="8" t="s">
        <v>122</v>
      </c>
      <c r="E238">
        <f t="shared" si="11"/>
        <v>1</v>
      </c>
      <c r="F238">
        <f t="shared" si="9"/>
        <v>4</v>
      </c>
    </row>
    <row r="239" spans="1:6" ht="15.75" customHeight="1" x14ac:dyDescent="0.3">
      <c r="A239" s="2" t="s">
        <v>42</v>
      </c>
      <c r="B239" s="7">
        <v>45478</v>
      </c>
      <c r="C239" s="7" t="str">
        <f t="shared" si="10"/>
        <v>Friday</v>
      </c>
      <c r="D239" s="8" t="s">
        <v>122</v>
      </c>
      <c r="E239">
        <f t="shared" si="11"/>
        <v>1</v>
      </c>
      <c r="F239">
        <f t="shared" si="9"/>
        <v>3</v>
      </c>
    </row>
    <row r="240" spans="1:6" ht="15.75" customHeight="1" x14ac:dyDescent="0.3">
      <c r="A240" s="2" t="s">
        <v>43</v>
      </c>
      <c r="B240" s="7">
        <v>45478</v>
      </c>
      <c r="C240" s="7" t="str">
        <f t="shared" si="10"/>
        <v>Friday</v>
      </c>
      <c r="D240" s="8" t="s">
        <v>122</v>
      </c>
      <c r="E240">
        <f t="shared" si="11"/>
        <v>1</v>
      </c>
      <c r="F240">
        <f t="shared" si="9"/>
        <v>4</v>
      </c>
    </row>
    <row r="241" spans="1:6" ht="15.75" customHeight="1" x14ac:dyDescent="0.3">
      <c r="A241" s="2" t="s">
        <v>44</v>
      </c>
      <c r="B241" s="7">
        <v>45478</v>
      </c>
      <c r="C241" s="7" t="str">
        <f t="shared" si="10"/>
        <v>Friday</v>
      </c>
      <c r="D241" s="8" t="s">
        <v>123</v>
      </c>
      <c r="E241">
        <f t="shared" si="11"/>
        <v>0</v>
      </c>
      <c r="F241">
        <f t="shared" si="9"/>
        <v>1</v>
      </c>
    </row>
    <row r="242" spans="1:6" ht="15.75" customHeight="1" x14ac:dyDescent="0.3">
      <c r="A242" s="2" t="s">
        <v>45</v>
      </c>
      <c r="B242" s="7">
        <v>45478</v>
      </c>
      <c r="C242" s="7" t="str">
        <f t="shared" si="10"/>
        <v>Friday</v>
      </c>
      <c r="D242" s="8" t="s">
        <v>122</v>
      </c>
      <c r="E242">
        <f t="shared" si="11"/>
        <v>1</v>
      </c>
      <c r="F242">
        <f t="shared" si="9"/>
        <v>4</v>
      </c>
    </row>
    <row r="243" spans="1:6" ht="15.75" customHeight="1" x14ac:dyDescent="0.3">
      <c r="A243" s="2" t="s">
        <v>46</v>
      </c>
      <c r="B243" s="7">
        <v>45478</v>
      </c>
      <c r="C243" s="7" t="str">
        <f t="shared" si="10"/>
        <v>Friday</v>
      </c>
      <c r="D243" s="8" t="s">
        <v>123</v>
      </c>
      <c r="E243">
        <f t="shared" si="11"/>
        <v>0</v>
      </c>
      <c r="F243">
        <f t="shared" si="9"/>
        <v>1</v>
      </c>
    </row>
    <row r="244" spans="1:6" ht="15.75" customHeight="1" x14ac:dyDescent="0.3">
      <c r="A244" s="2" t="s">
        <v>47</v>
      </c>
      <c r="B244" s="7">
        <v>45478</v>
      </c>
      <c r="C244" s="7" t="str">
        <f t="shared" si="10"/>
        <v>Friday</v>
      </c>
      <c r="D244" s="8" t="s">
        <v>123</v>
      </c>
      <c r="E244">
        <f t="shared" si="11"/>
        <v>0</v>
      </c>
      <c r="F244">
        <f t="shared" si="9"/>
        <v>2</v>
      </c>
    </row>
    <row r="245" spans="1:6" ht="15.75" customHeight="1" x14ac:dyDescent="0.3">
      <c r="A245" s="2" t="s">
        <v>48</v>
      </c>
      <c r="B245" s="7">
        <v>45478</v>
      </c>
      <c r="C245" s="7" t="str">
        <f t="shared" si="10"/>
        <v>Friday</v>
      </c>
      <c r="D245" s="8" t="s">
        <v>123</v>
      </c>
      <c r="E245">
        <f t="shared" si="11"/>
        <v>0</v>
      </c>
      <c r="F245">
        <f t="shared" si="9"/>
        <v>2</v>
      </c>
    </row>
    <row r="246" spans="1:6" ht="15.75" customHeight="1" x14ac:dyDescent="0.3">
      <c r="A246" s="2" t="s">
        <v>49</v>
      </c>
      <c r="B246" s="7">
        <v>45478</v>
      </c>
      <c r="C246" s="7" t="str">
        <f t="shared" si="10"/>
        <v>Friday</v>
      </c>
      <c r="D246" s="8" t="s">
        <v>122</v>
      </c>
      <c r="E246">
        <f t="shared" si="11"/>
        <v>1</v>
      </c>
      <c r="F246">
        <f t="shared" si="9"/>
        <v>3</v>
      </c>
    </row>
    <row r="247" spans="1:6" ht="15.75" customHeight="1" x14ac:dyDescent="0.3">
      <c r="A247" s="2" t="s">
        <v>50</v>
      </c>
      <c r="B247" s="7">
        <v>45478</v>
      </c>
      <c r="C247" s="7" t="str">
        <f t="shared" si="10"/>
        <v>Friday</v>
      </c>
      <c r="D247" s="8" t="s">
        <v>123</v>
      </c>
      <c r="E247">
        <f t="shared" si="11"/>
        <v>0</v>
      </c>
      <c r="F247">
        <f t="shared" si="9"/>
        <v>2</v>
      </c>
    </row>
    <row r="248" spans="1:6" ht="15.75" customHeight="1" x14ac:dyDescent="0.3">
      <c r="A248" s="2" t="s">
        <v>51</v>
      </c>
      <c r="B248" s="7">
        <v>45478</v>
      </c>
      <c r="C248" s="7" t="str">
        <f t="shared" si="10"/>
        <v>Friday</v>
      </c>
      <c r="D248" s="8" t="s">
        <v>122</v>
      </c>
      <c r="E248">
        <f t="shared" si="11"/>
        <v>1</v>
      </c>
      <c r="F248">
        <f t="shared" si="9"/>
        <v>4</v>
      </c>
    </row>
    <row r="249" spans="1:6" ht="15.75" customHeight="1" x14ac:dyDescent="0.3">
      <c r="A249" s="2" t="s">
        <v>52</v>
      </c>
      <c r="B249" s="7">
        <v>45478</v>
      </c>
      <c r="C249" s="7" t="str">
        <f t="shared" si="10"/>
        <v>Friday</v>
      </c>
      <c r="D249" s="8" t="s">
        <v>123</v>
      </c>
      <c r="E249">
        <f t="shared" si="11"/>
        <v>0</v>
      </c>
      <c r="F249">
        <f t="shared" si="9"/>
        <v>0</v>
      </c>
    </row>
    <row r="250" spans="1:6" ht="15.75" customHeight="1" x14ac:dyDescent="0.3">
      <c r="A250" s="2" t="s">
        <v>53</v>
      </c>
      <c r="B250" s="7">
        <v>45478</v>
      </c>
      <c r="C250" s="7" t="str">
        <f t="shared" si="10"/>
        <v>Friday</v>
      </c>
      <c r="D250" s="8" t="s">
        <v>122</v>
      </c>
      <c r="E250">
        <f t="shared" si="11"/>
        <v>1</v>
      </c>
      <c r="F250">
        <f t="shared" si="9"/>
        <v>2</v>
      </c>
    </row>
    <row r="251" spans="1:6" ht="15.75" customHeight="1" x14ac:dyDescent="0.3">
      <c r="A251" s="2" t="s">
        <v>54</v>
      </c>
      <c r="B251" s="7">
        <v>45478</v>
      </c>
      <c r="C251" s="7" t="str">
        <f t="shared" si="10"/>
        <v>Friday</v>
      </c>
      <c r="D251" s="8" t="s">
        <v>123</v>
      </c>
      <c r="E251">
        <f t="shared" si="11"/>
        <v>0</v>
      </c>
      <c r="F251">
        <f t="shared" si="9"/>
        <v>1</v>
      </c>
    </row>
    <row r="252" spans="1:6" ht="15.75" customHeight="1" x14ac:dyDescent="0.3"/>
    <row r="253" spans="1:6" ht="15.75" customHeight="1" x14ac:dyDescent="0.3"/>
    <row r="254" spans="1:6" ht="15.75" customHeight="1" x14ac:dyDescent="0.3"/>
    <row r="255" spans="1:6" ht="15.75" customHeight="1" x14ac:dyDescent="0.3"/>
    <row r="256" spans="1: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E1:E1048576">
    <cfRule type="cellIs" dxfId="13" priority="1" operator="equal">
      <formula>0</formula>
    </cfRule>
    <cfRule type="cellIs" dxfId="12" priority="2" operator="equal">
      <formula>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F4575BC2D3E248A25FA6AEB3A87728" ma:contentTypeVersion="6" ma:contentTypeDescription="Create a new document." ma:contentTypeScope="" ma:versionID="7742f736190d1e30cd43dd9c7417e5c2">
  <xsd:schema xmlns:xsd="http://www.w3.org/2001/XMLSchema" xmlns:xs="http://www.w3.org/2001/XMLSchema" xmlns:p="http://schemas.microsoft.com/office/2006/metadata/properties" xmlns:ns3="11051dfa-4f9a-404a-b329-8c4b773c2e0a" targetNamespace="http://schemas.microsoft.com/office/2006/metadata/properties" ma:root="true" ma:fieldsID="fe0312b0cc9cc1d63e02996e945f02e3" ns3:_="">
    <xsd:import namespace="11051dfa-4f9a-404a-b329-8c4b773c2e0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51dfa-4f9a-404a-b329-8c4b773c2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051dfa-4f9a-404a-b329-8c4b773c2e0a" xsi:nil="true"/>
  </documentManagement>
</p:properties>
</file>

<file path=customXml/itemProps1.xml><?xml version="1.0" encoding="utf-8"?>
<ds:datastoreItem xmlns:ds="http://schemas.openxmlformats.org/officeDocument/2006/customXml" ds:itemID="{E9D8F4B6-97BA-4E38-9EDF-9CD0C3CDA6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5FC3B1-4B53-4095-9A7B-6431988EAD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051dfa-4f9a-404a-b329-8c4b773c2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A73499-012B-437E-BD13-B804120DDBED}">
  <ds:schemaRefs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11051dfa-4f9a-404a-b329-8c4b773c2e0a"/>
  </ds:schemaRefs>
</ds:datastoreItem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Attendance Tracker</vt:lpstr>
      <vt:lpstr>Individual Attendance Summary</vt:lpstr>
      <vt:lpstr>Attendance Summary</vt:lpstr>
      <vt:lpstr>List 1</vt:lpstr>
      <vt:lpstr>List 2</vt:lpstr>
      <vt:lpstr>List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Imamul Kabir</dc:creator>
  <cp:lastModifiedBy>Imamul Kabir</cp:lastModifiedBy>
  <dcterms:created xsi:type="dcterms:W3CDTF">2025-11-16T01:18:20Z</dcterms:created>
  <dcterms:modified xsi:type="dcterms:W3CDTF">2026-07-16T13:24:16Z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0x01010017F4575BC2D3E248A25FA6AEB3A87728</vt:lpwstr>
  </property>
</Properties>
</file>